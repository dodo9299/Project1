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F4E4ABB-9B32-4836-8EB4-33E762F858AE}" xr6:coauthVersionLast="47" xr6:coauthVersionMax="47" xr10:uidLastSave="{00000000-0000-0000-0000-000000000000}"/>
  <bookViews>
    <workbookView xWindow="-120" yWindow="-120" windowWidth="29040" windowHeight="15720" xr2:uid="{8D3E47AE-7C54-4EAC-958F-B415AF4F7D45}"/>
  </bookViews>
  <sheets>
    <sheet name="mergecleandataset2" sheetId="1" r:id="rId1"/>
  </sheets>
  <definedNames>
    <definedName name="ExternalData_1" localSheetId="0" hidden="1">mergecleandataset2!$A$1:$P$1001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01" i="1" l="1"/>
  <c r="U1001" i="1"/>
  <c r="T1001" i="1"/>
  <c r="S1001" i="1"/>
  <c r="R1001" i="1"/>
  <c r="D1001" i="1"/>
  <c r="Q1001" i="1" s="1"/>
  <c r="V1001" i="1" s="1"/>
  <c r="W1000" i="1"/>
  <c r="U1000" i="1"/>
  <c r="T1000" i="1"/>
  <c r="S1000" i="1"/>
  <c r="R1000" i="1"/>
  <c r="D1000" i="1"/>
  <c r="Q1000" i="1" s="1"/>
  <c r="V1000" i="1" s="1"/>
  <c r="W999" i="1"/>
  <c r="U999" i="1"/>
  <c r="T999" i="1"/>
  <c r="S999" i="1"/>
  <c r="R999" i="1"/>
  <c r="D999" i="1"/>
  <c r="Q999" i="1" s="1"/>
  <c r="V999" i="1" s="1"/>
  <c r="W998" i="1"/>
  <c r="U998" i="1"/>
  <c r="T998" i="1"/>
  <c r="S998" i="1"/>
  <c r="R998" i="1"/>
  <c r="D998" i="1"/>
  <c r="Q998" i="1" s="1"/>
  <c r="V998" i="1" s="1"/>
  <c r="W997" i="1"/>
  <c r="U997" i="1"/>
  <c r="T997" i="1"/>
  <c r="S997" i="1"/>
  <c r="R997" i="1"/>
  <c r="D997" i="1"/>
  <c r="Q997" i="1" s="1"/>
  <c r="V997" i="1" s="1"/>
  <c r="W996" i="1"/>
  <c r="U996" i="1"/>
  <c r="T996" i="1"/>
  <c r="S996" i="1"/>
  <c r="R996" i="1"/>
  <c r="D996" i="1"/>
  <c r="Q996" i="1" s="1"/>
  <c r="V996" i="1" s="1"/>
  <c r="W995" i="1"/>
  <c r="U995" i="1"/>
  <c r="T995" i="1"/>
  <c r="S995" i="1"/>
  <c r="R995" i="1"/>
  <c r="D995" i="1"/>
  <c r="Q995" i="1" s="1"/>
  <c r="V995" i="1" s="1"/>
  <c r="W994" i="1"/>
  <c r="U994" i="1"/>
  <c r="T994" i="1"/>
  <c r="S994" i="1"/>
  <c r="R994" i="1"/>
  <c r="D994" i="1"/>
  <c r="Q994" i="1" s="1"/>
  <c r="V994" i="1" s="1"/>
  <c r="W993" i="1"/>
  <c r="U993" i="1"/>
  <c r="T993" i="1"/>
  <c r="S993" i="1"/>
  <c r="R993" i="1"/>
  <c r="D993" i="1"/>
  <c r="Q993" i="1" s="1"/>
  <c r="V993" i="1" s="1"/>
  <c r="W992" i="1"/>
  <c r="U992" i="1"/>
  <c r="T992" i="1"/>
  <c r="S992" i="1"/>
  <c r="R992" i="1"/>
  <c r="D992" i="1"/>
  <c r="Q992" i="1" s="1"/>
  <c r="V992" i="1" s="1"/>
  <c r="W991" i="1"/>
  <c r="U991" i="1"/>
  <c r="T991" i="1"/>
  <c r="S991" i="1"/>
  <c r="R991" i="1"/>
  <c r="D991" i="1"/>
  <c r="Q991" i="1" s="1"/>
  <c r="V991" i="1" s="1"/>
  <c r="W990" i="1"/>
  <c r="U990" i="1"/>
  <c r="T990" i="1"/>
  <c r="S990" i="1"/>
  <c r="R990" i="1"/>
  <c r="D990" i="1"/>
  <c r="Q990" i="1" s="1"/>
  <c r="V990" i="1" s="1"/>
  <c r="W989" i="1"/>
  <c r="U989" i="1"/>
  <c r="T989" i="1"/>
  <c r="S989" i="1"/>
  <c r="R989" i="1"/>
  <c r="D989" i="1"/>
  <c r="Q989" i="1" s="1"/>
  <c r="V989" i="1" s="1"/>
  <c r="W988" i="1"/>
  <c r="U988" i="1"/>
  <c r="T988" i="1"/>
  <c r="S988" i="1"/>
  <c r="R988" i="1"/>
  <c r="D988" i="1"/>
  <c r="Q988" i="1" s="1"/>
  <c r="V988" i="1" s="1"/>
  <c r="W987" i="1"/>
  <c r="U987" i="1"/>
  <c r="T987" i="1"/>
  <c r="S987" i="1"/>
  <c r="R987" i="1"/>
  <c r="D987" i="1"/>
  <c r="Q987" i="1" s="1"/>
  <c r="V987" i="1" s="1"/>
  <c r="W986" i="1"/>
  <c r="U986" i="1"/>
  <c r="T986" i="1"/>
  <c r="S986" i="1"/>
  <c r="R986" i="1"/>
  <c r="D986" i="1"/>
  <c r="Q986" i="1" s="1"/>
  <c r="V986" i="1" s="1"/>
  <c r="W985" i="1"/>
  <c r="U985" i="1"/>
  <c r="T985" i="1"/>
  <c r="S985" i="1"/>
  <c r="R985" i="1"/>
  <c r="D985" i="1"/>
  <c r="Q985" i="1" s="1"/>
  <c r="V985" i="1" s="1"/>
  <c r="W984" i="1"/>
  <c r="U984" i="1"/>
  <c r="T984" i="1"/>
  <c r="S984" i="1"/>
  <c r="R984" i="1"/>
  <c r="D984" i="1"/>
  <c r="Q984" i="1" s="1"/>
  <c r="V984" i="1" s="1"/>
  <c r="W983" i="1"/>
  <c r="U983" i="1"/>
  <c r="T983" i="1"/>
  <c r="S983" i="1"/>
  <c r="R983" i="1"/>
  <c r="D983" i="1"/>
  <c r="Q983" i="1" s="1"/>
  <c r="V983" i="1" s="1"/>
  <c r="W982" i="1"/>
  <c r="U982" i="1"/>
  <c r="T982" i="1"/>
  <c r="S982" i="1"/>
  <c r="R982" i="1"/>
  <c r="D982" i="1"/>
  <c r="Q982" i="1" s="1"/>
  <c r="V982" i="1" s="1"/>
  <c r="W981" i="1"/>
  <c r="U981" i="1"/>
  <c r="T981" i="1"/>
  <c r="S981" i="1"/>
  <c r="R981" i="1"/>
  <c r="D981" i="1"/>
  <c r="Q981" i="1" s="1"/>
  <c r="V981" i="1" s="1"/>
  <c r="W980" i="1"/>
  <c r="U980" i="1"/>
  <c r="T980" i="1"/>
  <c r="S980" i="1"/>
  <c r="R980" i="1"/>
  <c r="D980" i="1"/>
  <c r="Q980" i="1" s="1"/>
  <c r="V980" i="1" s="1"/>
  <c r="W979" i="1"/>
  <c r="U979" i="1"/>
  <c r="T979" i="1"/>
  <c r="S979" i="1"/>
  <c r="R979" i="1"/>
  <c r="D979" i="1"/>
  <c r="Q979" i="1" s="1"/>
  <c r="V979" i="1" s="1"/>
  <c r="W978" i="1"/>
  <c r="U978" i="1"/>
  <c r="T978" i="1"/>
  <c r="S978" i="1"/>
  <c r="R978" i="1"/>
  <c r="D978" i="1"/>
  <c r="Q978" i="1" s="1"/>
  <c r="V978" i="1" s="1"/>
  <c r="W977" i="1"/>
  <c r="U977" i="1"/>
  <c r="T977" i="1"/>
  <c r="S977" i="1"/>
  <c r="R977" i="1"/>
  <c r="D977" i="1"/>
  <c r="Q977" i="1" s="1"/>
  <c r="V977" i="1" s="1"/>
  <c r="W976" i="1"/>
  <c r="U976" i="1"/>
  <c r="T976" i="1"/>
  <c r="S976" i="1"/>
  <c r="R976" i="1"/>
  <c r="D976" i="1"/>
  <c r="Q976" i="1" s="1"/>
  <c r="V976" i="1" s="1"/>
  <c r="W975" i="1"/>
  <c r="U975" i="1"/>
  <c r="T975" i="1"/>
  <c r="S975" i="1"/>
  <c r="R975" i="1"/>
  <c r="D975" i="1"/>
  <c r="Q975" i="1" s="1"/>
  <c r="V975" i="1" s="1"/>
  <c r="W974" i="1"/>
  <c r="U974" i="1"/>
  <c r="T974" i="1"/>
  <c r="S974" i="1"/>
  <c r="R974" i="1"/>
  <c r="D974" i="1"/>
  <c r="Q974" i="1" s="1"/>
  <c r="V974" i="1" s="1"/>
  <c r="W973" i="1"/>
  <c r="U973" i="1"/>
  <c r="T973" i="1"/>
  <c r="S973" i="1"/>
  <c r="R973" i="1"/>
  <c r="D973" i="1"/>
  <c r="Q973" i="1" s="1"/>
  <c r="V973" i="1" s="1"/>
  <c r="W972" i="1"/>
  <c r="U972" i="1"/>
  <c r="T972" i="1"/>
  <c r="S972" i="1"/>
  <c r="R972" i="1"/>
  <c r="D972" i="1"/>
  <c r="Q972" i="1" s="1"/>
  <c r="V972" i="1" s="1"/>
  <c r="W971" i="1"/>
  <c r="U971" i="1"/>
  <c r="T971" i="1"/>
  <c r="S971" i="1"/>
  <c r="R971" i="1"/>
  <c r="D971" i="1"/>
  <c r="Q971" i="1" s="1"/>
  <c r="V971" i="1" s="1"/>
  <c r="W970" i="1"/>
  <c r="U970" i="1"/>
  <c r="T970" i="1"/>
  <c r="S970" i="1"/>
  <c r="R970" i="1"/>
  <c r="D970" i="1"/>
  <c r="Q970" i="1" s="1"/>
  <c r="V970" i="1" s="1"/>
  <c r="W969" i="1"/>
  <c r="U969" i="1"/>
  <c r="T969" i="1"/>
  <c r="S969" i="1"/>
  <c r="R969" i="1"/>
  <c r="D969" i="1"/>
  <c r="Q969" i="1" s="1"/>
  <c r="V969" i="1" s="1"/>
  <c r="W968" i="1"/>
  <c r="U968" i="1"/>
  <c r="T968" i="1"/>
  <c r="S968" i="1"/>
  <c r="R968" i="1"/>
  <c r="D968" i="1"/>
  <c r="Q968" i="1" s="1"/>
  <c r="V968" i="1" s="1"/>
  <c r="W967" i="1"/>
  <c r="U967" i="1"/>
  <c r="T967" i="1"/>
  <c r="S967" i="1"/>
  <c r="R967" i="1"/>
  <c r="D967" i="1"/>
  <c r="Q967" i="1" s="1"/>
  <c r="V967" i="1" s="1"/>
  <c r="W966" i="1"/>
  <c r="U966" i="1"/>
  <c r="T966" i="1"/>
  <c r="S966" i="1"/>
  <c r="R966" i="1"/>
  <c r="D966" i="1"/>
  <c r="Q966" i="1" s="1"/>
  <c r="V966" i="1" s="1"/>
  <c r="W965" i="1"/>
  <c r="U965" i="1"/>
  <c r="T965" i="1"/>
  <c r="S965" i="1"/>
  <c r="R965" i="1"/>
  <c r="D965" i="1"/>
  <c r="Q965" i="1" s="1"/>
  <c r="V965" i="1" s="1"/>
  <c r="W964" i="1"/>
  <c r="U964" i="1"/>
  <c r="T964" i="1"/>
  <c r="S964" i="1"/>
  <c r="R964" i="1"/>
  <c r="D964" i="1"/>
  <c r="Q964" i="1" s="1"/>
  <c r="V964" i="1" s="1"/>
  <c r="W963" i="1"/>
  <c r="U963" i="1"/>
  <c r="T963" i="1"/>
  <c r="S963" i="1"/>
  <c r="R963" i="1"/>
  <c r="D963" i="1"/>
  <c r="Q963" i="1" s="1"/>
  <c r="V963" i="1" s="1"/>
  <c r="W962" i="1"/>
  <c r="U962" i="1"/>
  <c r="T962" i="1"/>
  <c r="S962" i="1"/>
  <c r="R962" i="1"/>
  <c r="D962" i="1"/>
  <c r="Q962" i="1" s="1"/>
  <c r="V962" i="1" s="1"/>
  <c r="W961" i="1"/>
  <c r="U961" i="1"/>
  <c r="T961" i="1"/>
  <c r="S961" i="1"/>
  <c r="R961" i="1"/>
  <c r="D961" i="1"/>
  <c r="Q961" i="1" s="1"/>
  <c r="V961" i="1" s="1"/>
  <c r="W960" i="1"/>
  <c r="U960" i="1"/>
  <c r="T960" i="1"/>
  <c r="S960" i="1"/>
  <c r="R960" i="1"/>
  <c r="D960" i="1"/>
  <c r="Q960" i="1" s="1"/>
  <c r="V960" i="1" s="1"/>
  <c r="W959" i="1"/>
  <c r="U959" i="1"/>
  <c r="T959" i="1"/>
  <c r="S959" i="1"/>
  <c r="R959" i="1"/>
  <c r="D959" i="1"/>
  <c r="Q959" i="1" s="1"/>
  <c r="V959" i="1" s="1"/>
  <c r="W958" i="1"/>
  <c r="U958" i="1"/>
  <c r="T958" i="1"/>
  <c r="S958" i="1"/>
  <c r="R958" i="1"/>
  <c r="D958" i="1"/>
  <c r="Q958" i="1" s="1"/>
  <c r="V958" i="1" s="1"/>
  <c r="W957" i="1"/>
  <c r="U957" i="1"/>
  <c r="T957" i="1"/>
  <c r="S957" i="1"/>
  <c r="R957" i="1"/>
  <c r="D957" i="1"/>
  <c r="Q957" i="1" s="1"/>
  <c r="V957" i="1" s="1"/>
  <c r="W956" i="1"/>
  <c r="U956" i="1"/>
  <c r="T956" i="1"/>
  <c r="S956" i="1"/>
  <c r="R956" i="1"/>
  <c r="D956" i="1"/>
  <c r="Q956" i="1" s="1"/>
  <c r="V956" i="1" s="1"/>
  <c r="W955" i="1"/>
  <c r="U955" i="1"/>
  <c r="T955" i="1"/>
  <c r="S955" i="1"/>
  <c r="R955" i="1"/>
  <c r="D955" i="1"/>
  <c r="Q955" i="1" s="1"/>
  <c r="V955" i="1" s="1"/>
  <c r="W954" i="1"/>
  <c r="U954" i="1"/>
  <c r="T954" i="1"/>
  <c r="S954" i="1"/>
  <c r="R954" i="1"/>
  <c r="D954" i="1"/>
  <c r="Q954" i="1" s="1"/>
  <c r="V954" i="1" s="1"/>
  <c r="W953" i="1"/>
  <c r="U953" i="1"/>
  <c r="T953" i="1"/>
  <c r="S953" i="1"/>
  <c r="R953" i="1"/>
  <c r="D953" i="1"/>
  <c r="Q953" i="1" s="1"/>
  <c r="V953" i="1" s="1"/>
  <c r="W952" i="1"/>
  <c r="U952" i="1"/>
  <c r="T952" i="1"/>
  <c r="S952" i="1"/>
  <c r="R952" i="1"/>
  <c r="D952" i="1"/>
  <c r="Q952" i="1" s="1"/>
  <c r="V952" i="1" s="1"/>
  <c r="W951" i="1"/>
  <c r="U951" i="1"/>
  <c r="T951" i="1"/>
  <c r="S951" i="1"/>
  <c r="R951" i="1"/>
  <c r="D951" i="1"/>
  <c r="Q951" i="1" s="1"/>
  <c r="V951" i="1" s="1"/>
  <c r="W950" i="1"/>
  <c r="U950" i="1"/>
  <c r="T950" i="1"/>
  <c r="S950" i="1"/>
  <c r="R950" i="1"/>
  <c r="D950" i="1"/>
  <c r="Q950" i="1" s="1"/>
  <c r="V950" i="1" s="1"/>
  <c r="W949" i="1"/>
  <c r="U949" i="1"/>
  <c r="T949" i="1"/>
  <c r="S949" i="1"/>
  <c r="R949" i="1"/>
  <c r="D949" i="1"/>
  <c r="Q949" i="1" s="1"/>
  <c r="V949" i="1" s="1"/>
  <c r="W948" i="1"/>
  <c r="U948" i="1"/>
  <c r="T948" i="1"/>
  <c r="S948" i="1"/>
  <c r="R948" i="1"/>
  <c r="D948" i="1"/>
  <c r="Q948" i="1" s="1"/>
  <c r="V948" i="1" s="1"/>
  <c r="W947" i="1"/>
  <c r="U947" i="1"/>
  <c r="T947" i="1"/>
  <c r="S947" i="1"/>
  <c r="R947" i="1"/>
  <c r="D947" i="1"/>
  <c r="Q947" i="1" s="1"/>
  <c r="V947" i="1" s="1"/>
  <c r="W946" i="1"/>
  <c r="U946" i="1"/>
  <c r="T946" i="1"/>
  <c r="S946" i="1"/>
  <c r="R946" i="1"/>
  <c r="D946" i="1"/>
  <c r="Q946" i="1" s="1"/>
  <c r="V946" i="1" s="1"/>
  <c r="W945" i="1"/>
  <c r="U945" i="1"/>
  <c r="T945" i="1"/>
  <c r="S945" i="1"/>
  <c r="R945" i="1"/>
  <c r="D945" i="1"/>
  <c r="Q945" i="1" s="1"/>
  <c r="V945" i="1" s="1"/>
  <c r="W944" i="1"/>
  <c r="U944" i="1"/>
  <c r="T944" i="1"/>
  <c r="S944" i="1"/>
  <c r="R944" i="1"/>
  <c r="D944" i="1"/>
  <c r="Q944" i="1" s="1"/>
  <c r="V944" i="1" s="1"/>
  <c r="W943" i="1"/>
  <c r="U943" i="1"/>
  <c r="T943" i="1"/>
  <c r="S943" i="1"/>
  <c r="R943" i="1"/>
  <c r="D943" i="1"/>
  <c r="Q943" i="1" s="1"/>
  <c r="V943" i="1" s="1"/>
  <c r="W942" i="1"/>
  <c r="U942" i="1"/>
  <c r="T942" i="1"/>
  <c r="S942" i="1"/>
  <c r="R942" i="1"/>
  <c r="D942" i="1"/>
  <c r="Q942" i="1" s="1"/>
  <c r="V942" i="1" s="1"/>
  <c r="W941" i="1"/>
  <c r="U941" i="1"/>
  <c r="T941" i="1"/>
  <c r="S941" i="1"/>
  <c r="R941" i="1"/>
  <c r="D941" i="1"/>
  <c r="Q941" i="1" s="1"/>
  <c r="V941" i="1" s="1"/>
  <c r="W940" i="1"/>
  <c r="U940" i="1"/>
  <c r="T940" i="1"/>
  <c r="S940" i="1"/>
  <c r="R940" i="1"/>
  <c r="D940" i="1"/>
  <c r="Q940" i="1" s="1"/>
  <c r="V940" i="1" s="1"/>
  <c r="W939" i="1"/>
  <c r="U939" i="1"/>
  <c r="T939" i="1"/>
  <c r="S939" i="1"/>
  <c r="R939" i="1"/>
  <c r="D939" i="1"/>
  <c r="Q939" i="1" s="1"/>
  <c r="V939" i="1" s="1"/>
  <c r="W938" i="1"/>
  <c r="U938" i="1"/>
  <c r="T938" i="1"/>
  <c r="S938" i="1"/>
  <c r="R938" i="1"/>
  <c r="D938" i="1"/>
  <c r="Q938" i="1" s="1"/>
  <c r="V938" i="1" s="1"/>
  <c r="W937" i="1"/>
  <c r="U937" i="1"/>
  <c r="T937" i="1"/>
  <c r="S937" i="1"/>
  <c r="R937" i="1"/>
  <c r="D937" i="1"/>
  <c r="Q937" i="1" s="1"/>
  <c r="V937" i="1" s="1"/>
  <c r="W936" i="1"/>
  <c r="U936" i="1"/>
  <c r="T936" i="1"/>
  <c r="S936" i="1"/>
  <c r="R936" i="1"/>
  <c r="D936" i="1"/>
  <c r="Q936" i="1" s="1"/>
  <c r="V936" i="1" s="1"/>
  <c r="W935" i="1"/>
  <c r="U935" i="1"/>
  <c r="T935" i="1"/>
  <c r="S935" i="1"/>
  <c r="R935" i="1"/>
  <c r="D935" i="1"/>
  <c r="Q935" i="1" s="1"/>
  <c r="V935" i="1" s="1"/>
  <c r="W934" i="1"/>
  <c r="U934" i="1"/>
  <c r="T934" i="1"/>
  <c r="S934" i="1"/>
  <c r="R934" i="1"/>
  <c r="D934" i="1"/>
  <c r="Q934" i="1" s="1"/>
  <c r="V934" i="1" s="1"/>
  <c r="W933" i="1"/>
  <c r="U933" i="1"/>
  <c r="T933" i="1"/>
  <c r="S933" i="1"/>
  <c r="R933" i="1"/>
  <c r="D933" i="1"/>
  <c r="Q933" i="1" s="1"/>
  <c r="V933" i="1" s="1"/>
  <c r="W932" i="1"/>
  <c r="U932" i="1"/>
  <c r="T932" i="1"/>
  <c r="S932" i="1"/>
  <c r="R932" i="1"/>
  <c r="D932" i="1"/>
  <c r="Q932" i="1" s="1"/>
  <c r="V932" i="1" s="1"/>
  <c r="W931" i="1"/>
  <c r="U931" i="1"/>
  <c r="T931" i="1"/>
  <c r="S931" i="1"/>
  <c r="R931" i="1"/>
  <c r="D931" i="1"/>
  <c r="Q931" i="1" s="1"/>
  <c r="V931" i="1" s="1"/>
  <c r="W930" i="1"/>
  <c r="U930" i="1"/>
  <c r="T930" i="1"/>
  <c r="S930" i="1"/>
  <c r="R930" i="1"/>
  <c r="D930" i="1"/>
  <c r="Q930" i="1" s="1"/>
  <c r="V930" i="1" s="1"/>
  <c r="W929" i="1"/>
  <c r="U929" i="1"/>
  <c r="T929" i="1"/>
  <c r="S929" i="1"/>
  <c r="R929" i="1"/>
  <c r="D929" i="1"/>
  <c r="Q929" i="1" s="1"/>
  <c r="V929" i="1" s="1"/>
  <c r="W928" i="1"/>
  <c r="U928" i="1"/>
  <c r="T928" i="1"/>
  <c r="S928" i="1"/>
  <c r="R928" i="1"/>
  <c r="D928" i="1"/>
  <c r="Q928" i="1" s="1"/>
  <c r="V928" i="1" s="1"/>
  <c r="W927" i="1"/>
  <c r="U927" i="1"/>
  <c r="T927" i="1"/>
  <c r="S927" i="1"/>
  <c r="R927" i="1"/>
  <c r="D927" i="1"/>
  <c r="Q927" i="1" s="1"/>
  <c r="V927" i="1" s="1"/>
  <c r="W926" i="1"/>
  <c r="U926" i="1"/>
  <c r="T926" i="1"/>
  <c r="S926" i="1"/>
  <c r="R926" i="1"/>
  <c r="D926" i="1"/>
  <c r="Q926" i="1" s="1"/>
  <c r="V926" i="1" s="1"/>
  <c r="W925" i="1"/>
  <c r="U925" i="1"/>
  <c r="T925" i="1"/>
  <c r="S925" i="1"/>
  <c r="R925" i="1"/>
  <c r="D925" i="1"/>
  <c r="Q925" i="1" s="1"/>
  <c r="V925" i="1" s="1"/>
  <c r="W924" i="1"/>
  <c r="U924" i="1"/>
  <c r="T924" i="1"/>
  <c r="S924" i="1"/>
  <c r="R924" i="1"/>
  <c r="D924" i="1"/>
  <c r="Q924" i="1" s="1"/>
  <c r="V924" i="1" s="1"/>
  <c r="W923" i="1"/>
  <c r="U923" i="1"/>
  <c r="T923" i="1"/>
  <c r="S923" i="1"/>
  <c r="R923" i="1"/>
  <c r="D923" i="1"/>
  <c r="Q923" i="1" s="1"/>
  <c r="V923" i="1" s="1"/>
  <c r="W922" i="1"/>
  <c r="U922" i="1"/>
  <c r="T922" i="1"/>
  <c r="S922" i="1"/>
  <c r="R922" i="1"/>
  <c r="D922" i="1"/>
  <c r="Q922" i="1" s="1"/>
  <c r="V922" i="1" s="1"/>
  <c r="W921" i="1"/>
  <c r="U921" i="1"/>
  <c r="T921" i="1"/>
  <c r="S921" i="1"/>
  <c r="R921" i="1"/>
  <c r="D921" i="1"/>
  <c r="Q921" i="1" s="1"/>
  <c r="V921" i="1" s="1"/>
  <c r="W920" i="1"/>
  <c r="U920" i="1"/>
  <c r="T920" i="1"/>
  <c r="S920" i="1"/>
  <c r="R920" i="1"/>
  <c r="D920" i="1"/>
  <c r="Q920" i="1" s="1"/>
  <c r="V920" i="1" s="1"/>
  <c r="W919" i="1"/>
  <c r="U919" i="1"/>
  <c r="T919" i="1"/>
  <c r="S919" i="1"/>
  <c r="R919" i="1"/>
  <c r="D919" i="1"/>
  <c r="Q919" i="1" s="1"/>
  <c r="V919" i="1" s="1"/>
  <c r="W918" i="1"/>
  <c r="U918" i="1"/>
  <c r="T918" i="1"/>
  <c r="S918" i="1"/>
  <c r="R918" i="1"/>
  <c r="D918" i="1"/>
  <c r="Q918" i="1" s="1"/>
  <c r="V918" i="1" s="1"/>
  <c r="W917" i="1"/>
  <c r="U917" i="1"/>
  <c r="T917" i="1"/>
  <c r="S917" i="1"/>
  <c r="R917" i="1"/>
  <c r="D917" i="1"/>
  <c r="Q917" i="1" s="1"/>
  <c r="V917" i="1" s="1"/>
  <c r="W916" i="1"/>
  <c r="V916" i="1"/>
  <c r="U916" i="1"/>
  <c r="T916" i="1"/>
  <c r="S916" i="1"/>
  <c r="R916" i="1"/>
  <c r="D916" i="1"/>
  <c r="Q916" i="1" s="1"/>
  <c r="W915" i="1"/>
  <c r="U915" i="1"/>
  <c r="T915" i="1"/>
  <c r="S915" i="1"/>
  <c r="R915" i="1"/>
  <c r="D915" i="1"/>
  <c r="Q915" i="1" s="1"/>
  <c r="V915" i="1" s="1"/>
  <c r="W914" i="1"/>
  <c r="U914" i="1"/>
  <c r="T914" i="1"/>
  <c r="S914" i="1"/>
  <c r="R914" i="1"/>
  <c r="D914" i="1"/>
  <c r="Q914" i="1" s="1"/>
  <c r="V914" i="1" s="1"/>
  <c r="W913" i="1"/>
  <c r="U913" i="1"/>
  <c r="T913" i="1"/>
  <c r="S913" i="1"/>
  <c r="R913" i="1"/>
  <c r="D913" i="1"/>
  <c r="Q913" i="1" s="1"/>
  <c r="V913" i="1" s="1"/>
  <c r="W912" i="1"/>
  <c r="U912" i="1"/>
  <c r="T912" i="1"/>
  <c r="S912" i="1"/>
  <c r="R912" i="1"/>
  <c r="D912" i="1"/>
  <c r="Q912" i="1" s="1"/>
  <c r="V912" i="1" s="1"/>
  <c r="W911" i="1"/>
  <c r="U911" i="1"/>
  <c r="T911" i="1"/>
  <c r="S911" i="1"/>
  <c r="R911" i="1"/>
  <c r="D911" i="1"/>
  <c r="Q911" i="1" s="1"/>
  <c r="V911" i="1" s="1"/>
  <c r="W910" i="1"/>
  <c r="U910" i="1"/>
  <c r="T910" i="1"/>
  <c r="S910" i="1"/>
  <c r="R910" i="1"/>
  <c r="D910" i="1"/>
  <c r="Q910" i="1" s="1"/>
  <c r="V910" i="1" s="1"/>
  <c r="W909" i="1"/>
  <c r="U909" i="1"/>
  <c r="T909" i="1"/>
  <c r="S909" i="1"/>
  <c r="R909" i="1"/>
  <c r="D909" i="1"/>
  <c r="Q909" i="1" s="1"/>
  <c r="V909" i="1" s="1"/>
  <c r="W908" i="1"/>
  <c r="U908" i="1"/>
  <c r="T908" i="1"/>
  <c r="S908" i="1"/>
  <c r="R908" i="1"/>
  <c r="D908" i="1"/>
  <c r="Q908" i="1" s="1"/>
  <c r="V908" i="1" s="1"/>
  <c r="W907" i="1"/>
  <c r="U907" i="1"/>
  <c r="T907" i="1"/>
  <c r="S907" i="1"/>
  <c r="R907" i="1"/>
  <c r="D907" i="1"/>
  <c r="Q907" i="1" s="1"/>
  <c r="V907" i="1" s="1"/>
  <c r="W906" i="1"/>
  <c r="U906" i="1"/>
  <c r="T906" i="1"/>
  <c r="S906" i="1"/>
  <c r="R906" i="1"/>
  <c r="D906" i="1"/>
  <c r="Q906" i="1" s="1"/>
  <c r="V906" i="1" s="1"/>
  <c r="W905" i="1"/>
  <c r="U905" i="1"/>
  <c r="T905" i="1"/>
  <c r="S905" i="1"/>
  <c r="R905" i="1"/>
  <c r="D905" i="1"/>
  <c r="Q905" i="1" s="1"/>
  <c r="V905" i="1" s="1"/>
  <c r="W904" i="1"/>
  <c r="U904" i="1"/>
  <c r="T904" i="1"/>
  <c r="S904" i="1"/>
  <c r="R904" i="1"/>
  <c r="D904" i="1"/>
  <c r="Q904" i="1" s="1"/>
  <c r="V904" i="1" s="1"/>
  <c r="W903" i="1"/>
  <c r="U903" i="1"/>
  <c r="T903" i="1"/>
  <c r="S903" i="1"/>
  <c r="R903" i="1"/>
  <c r="D903" i="1"/>
  <c r="Q903" i="1" s="1"/>
  <c r="V903" i="1" s="1"/>
  <c r="W902" i="1"/>
  <c r="U902" i="1"/>
  <c r="T902" i="1"/>
  <c r="S902" i="1"/>
  <c r="R902" i="1"/>
  <c r="D902" i="1"/>
  <c r="Q902" i="1" s="1"/>
  <c r="V902" i="1" s="1"/>
  <c r="W901" i="1"/>
  <c r="U901" i="1"/>
  <c r="T901" i="1"/>
  <c r="S901" i="1"/>
  <c r="R901" i="1"/>
  <c r="D901" i="1"/>
  <c r="Q901" i="1" s="1"/>
  <c r="V901" i="1" s="1"/>
  <c r="W900" i="1"/>
  <c r="U900" i="1"/>
  <c r="T900" i="1"/>
  <c r="S900" i="1"/>
  <c r="R900" i="1"/>
  <c r="D900" i="1"/>
  <c r="Q900" i="1" s="1"/>
  <c r="V900" i="1" s="1"/>
  <c r="W899" i="1"/>
  <c r="U899" i="1"/>
  <c r="T899" i="1"/>
  <c r="S899" i="1"/>
  <c r="R899" i="1"/>
  <c r="D899" i="1"/>
  <c r="Q899" i="1" s="1"/>
  <c r="V899" i="1" s="1"/>
  <c r="W898" i="1"/>
  <c r="U898" i="1"/>
  <c r="T898" i="1"/>
  <c r="S898" i="1"/>
  <c r="R898" i="1"/>
  <c r="D898" i="1"/>
  <c r="Q898" i="1" s="1"/>
  <c r="V898" i="1" s="1"/>
  <c r="W897" i="1"/>
  <c r="U897" i="1"/>
  <c r="T897" i="1"/>
  <c r="S897" i="1"/>
  <c r="R897" i="1"/>
  <c r="D897" i="1"/>
  <c r="Q897" i="1" s="1"/>
  <c r="V897" i="1" s="1"/>
  <c r="W896" i="1"/>
  <c r="U896" i="1"/>
  <c r="T896" i="1"/>
  <c r="S896" i="1"/>
  <c r="R896" i="1"/>
  <c r="D896" i="1"/>
  <c r="Q896" i="1" s="1"/>
  <c r="V896" i="1" s="1"/>
  <c r="W895" i="1"/>
  <c r="U895" i="1"/>
  <c r="T895" i="1"/>
  <c r="S895" i="1"/>
  <c r="R895" i="1"/>
  <c r="D895" i="1"/>
  <c r="Q895" i="1" s="1"/>
  <c r="V895" i="1" s="1"/>
  <c r="W894" i="1"/>
  <c r="U894" i="1"/>
  <c r="T894" i="1"/>
  <c r="S894" i="1"/>
  <c r="R894" i="1"/>
  <c r="D894" i="1"/>
  <c r="Q894" i="1" s="1"/>
  <c r="V894" i="1" s="1"/>
  <c r="W893" i="1"/>
  <c r="U893" i="1"/>
  <c r="T893" i="1"/>
  <c r="S893" i="1"/>
  <c r="R893" i="1"/>
  <c r="D893" i="1"/>
  <c r="Q893" i="1" s="1"/>
  <c r="V893" i="1" s="1"/>
  <c r="W892" i="1"/>
  <c r="U892" i="1"/>
  <c r="T892" i="1"/>
  <c r="S892" i="1"/>
  <c r="R892" i="1"/>
  <c r="D892" i="1"/>
  <c r="Q892" i="1" s="1"/>
  <c r="V892" i="1" s="1"/>
  <c r="W891" i="1"/>
  <c r="U891" i="1"/>
  <c r="T891" i="1"/>
  <c r="S891" i="1"/>
  <c r="R891" i="1"/>
  <c r="D891" i="1"/>
  <c r="Q891" i="1" s="1"/>
  <c r="V891" i="1" s="1"/>
  <c r="W890" i="1"/>
  <c r="U890" i="1"/>
  <c r="T890" i="1"/>
  <c r="S890" i="1"/>
  <c r="R890" i="1"/>
  <c r="D890" i="1"/>
  <c r="Q890" i="1" s="1"/>
  <c r="V890" i="1" s="1"/>
  <c r="W889" i="1"/>
  <c r="U889" i="1"/>
  <c r="T889" i="1"/>
  <c r="S889" i="1"/>
  <c r="R889" i="1"/>
  <c r="D889" i="1"/>
  <c r="Q889" i="1" s="1"/>
  <c r="V889" i="1" s="1"/>
  <c r="W888" i="1"/>
  <c r="U888" i="1"/>
  <c r="T888" i="1"/>
  <c r="S888" i="1"/>
  <c r="R888" i="1"/>
  <c r="D888" i="1"/>
  <c r="Q888" i="1" s="1"/>
  <c r="V888" i="1" s="1"/>
  <c r="W887" i="1"/>
  <c r="U887" i="1"/>
  <c r="T887" i="1"/>
  <c r="S887" i="1"/>
  <c r="R887" i="1"/>
  <c r="D887" i="1"/>
  <c r="Q887" i="1" s="1"/>
  <c r="V887" i="1" s="1"/>
  <c r="W886" i="1"/>
  <c r="U886" i="1"/>
  <c r="T886" i="1"/>
  <c r="S886" i="1"/>
  <c r="R886" i="1"/>
  <c r="D886" i="1"/>
  <c r="Q886" i="1" s="1"/>
  <c r="V886" i="1" s="1"/>
  <c r="W885" i="1"/>
  <c r="U885" i="1"/>
  <c r="T885" i="1"/>
  <c r="S885" i="1"/>
  <c r="R885" i="1"/>
  <c r="D885" i="1"/>
  <c r="Q885" i="1" s="1"/>
  <c r="V885" i="1" s="1"/>
  <c r="W884" i="1"/>
  <c r="U884" i="1"/>
  <c r="T884" i="1"/>
  <c r="S884" i="1"/>
  <c r="R884" i="1"/>
  <c r="D884" i="1"/>
  <c r="Q884" i="1" s="1"/>
  <c r="V884" i="1" s="1"/>
  <c r="W883" i="1"/>
  <c r="U883" i="1"/>
  <c r="T883" i="1"/>
  <c r="S883" i="1"/>
  <c r="R883" i="1"/>
  <c r="D883" i="1"/>
  <c r="Q883" i="1" s="1"/>
  <c r="V883" i="1" s="1"/>
  <c r="W882" i="1"/>
  <c r="U882" i="1"/>
  <c r="T882" i="1"/>
  <c r="S882" i="1"/>
  <c r="R882" i="1"/>
  <c r="D882" i="1"/>
  <c r="Q882" i="1" s="1"/>
  <c r="V882" i="1" s="1"/>
  <c r="W881" i="1"/>
  <c r="U881" i="1"/>
  <c r="T881" i="1"/>
  <c r="S881" i="1"/>
  <c r="R881" i="1"/>
  <c r="D881" i="1"/>
  <c r="Q881" i="1" s="1"/>
  <c r="V881" i="1" s="1"/>
  <c r="W880" i="1"/>
  <c r="U880" i="1"/>
  <c r="T880" i="1"/>
  <c r="S880" i="1"/>
  <c r="R880" i="1"/>
  <c r="D880" i="1"/>
  <c r="Q880" i="1" s="1"/>
  <c r="V880" i="1" s="1"/>
  <c r="W879" i="1"/>
  <c r="U879" i="1"/>
  <c r="T879" i="1"/>
  <c r="S879" i="1"/>
  <c r="R879" i="1"/>
  <c r="D879" i="1"/>
  <c r="Q879" i="1" s="1"/>
  <c r="V879" i="1" s="1"/>
  <c r="W878" i="1"/>
  <c r="U878" i="1"/>
  <c r="T878" i="1"/>
  <c r="S878" i="1"/>
  <c r="R878" i="1"/>
  <c r="D878" i="1"/>
  <c r="Q878" i="1" s="1"/>
  <c r="V878" i="1" s="1"/>
  <c r="W877" i="1"/>
  <c r="U877" i="1"/>
  <c r="T877" i="1"/>
  <c r="S877" i="1"/>
  <c r="R877" i="1"/>
  <c r="D877" i="1"/>
  <c r="Q877" i="1" s="1"/>
  <c r="V877" i="1" s="1"/>
  <c r="W876" i="1"/>
  <c r="U876" i="1"/>
  <c r="T876" i="1"/>
  <c r="S876" i="1"/>
  <c r="R876" i="1"/>
  <c r="D876" i="1"/>
  <c r="Q876" i="1" s="1"/>
  <c r="V876" i="1" s="1"/>
  <c r="W875" i="1"/>
  <c r="U875" i="1"/>
  <c r="T875" i="1"/>
  <c r="S875" i="1"/>
  <c r="R875" i="1"/>
  <c r="D875" i="1"/>
  <c r="Q875" i="1" s="1"/>
  <c r="V875" i="1" s="1"/>
  <c r="W874" i="1"/>
  <c r="U874" i="1"/>
  <c r="T874" i="1"/>
  <c r="S874" i="1"/>
  <c r="R874" i="1"/>
  <c r="D874" i="1"/>
  <c r="Q874" i="1" s="1"/>
  <c r="V874" i="1" s="1"/>
  <c r="W873" i="1"/>
  <c r="U873" i="1"/>
  <c r="T873" i="1"/>
  <c r="S873" i="1"/>
  <c r="R873" i="1"/>
  <c r="D873" i="1"/>
  <c r="Q873" i="1" s="1"/>
  <c r="V873" i="1" s="1"/>
  <c r="W872" i="1"/>
  <c r="U872" i="1"/>
  <c r="T872" i="1"/>
  <c r="S872" i="1"/>
  <c r="R872" i="1"/>
  <c r="D872" i="1"/>
  <c r="Q872" i="1" s="1"/>
  <c r="V872" i="1" s="1"/>
  <c r="W871" i="1"/>
  <c r="U871" i="1"/>
  <c r="T871" i="1"/>
  <c r="S871" i="1"/>
  <c r="R871" i="1"/>
  <c r="D871" i="1"/>
  <c r="Q871" i="1" s="1"/>
  <c r="V871" i="1" s="1"/>
  <c r="W870" i="1"/>
  <c r="U870" i="1"/>
  <c r="T870" i="1"/>
  <c r="S870" i="1"/>
  <c r="R870" i="1"/>
  <c r="D870" i="1"/>
  <c r="Q870" i="1" s="1"/>
  <c r="V870" i="1" s="1"/>
  <c r="W869" i="1"/>
  <c r="U869" i="1"/>
  <c r="T869" i="1"/>
  <c r="S869" i="1"/>
  <c r="R869" i="1"/>
  <c r="D869" i="1"/>
  <c r="Q869" i="1" s="1"/>
  <c r="V869" i="1" s="1"/>
  <c r="W868" i="1"/>
  <c r="U868" i="1"/>
  <c r="T868" i="1"/>
  <c r="S868" i="1"/>
  <c r="R868" i="1"/>
  <c r="D868" i="1"/>
  <c r="Q868" i="1" s="1"/>
  <c r="V868" i="1" s="1"/>
  <c r="W867" i="1"/>
  <c r="U867" i="1"/>
  <c r="T867" i="1"/>
  <c r="S867" i="1"/>
  <c r="R867" i="1"/>
  <c r="D867" i="1"/>
  <c r="Q867" i="1" s="1"/>
  <c r="V867" i="1" s="1"/>
  <c r="W866" i="1"/>
  <c r="U866" i="1"/>
  <c r="T866" i="1"/>
  <c r="S866" i="1"/>
  <c r="R866" i="1"/>
  <c r="D866" i="1"/>
  <c r="Q866" i="1" s="1"/>
  <c r="V866" i="1" s="1"/>
  <c r="W865" i="1"/>
  <c r="U865" i="1"/>
  <c r="T865" i="1"/>
  <c r="S865" i="1"/>
  <c r="R865" i="1"/>
  <c r="D865" i="1"/>
  <c r="Q865" i="1" s="1"/>
  <c r="V865" i="1" s="1"/>
  <c r="W864" i="1"/>
  <c r="U864" i="1"/>
  <c r="T864" i="1"/>
  <c r="S864" i="1"/>
  <c r="R864" i="1"/>
  <c r="D864" i="1"/>
  <c r="Q864" i="1" s="1"/>
  <c r="V864" i="1" s="1"/>
  <c r="W863" i="1"/>
  <c r="U863" i="1"/>
  <c r="T863" i="1"/>
  <c r="S863" i="1"/>
  <c r="R863" i="1"/>
  <c r="D863" i="1"/>
  <c r="Q863" i="1" s="1"/>
  <c r="V863" i="1" s="1"/>
  <c r="W862" i="1"/>
  <c r="U862" i="1"/>
  <c r="T862" i="1"/>
  <c r="S862" i="1"/>
  <c r="R862" i="1"/>
  <c r="D862" i="1"/>
  <c r="Q862" i="1" s="1"/>
  <c r="V862" i="1" s="1"/>
  <c r="W861" i="1"/>
  <c r="U861" i="1"/>
  <c r="T861" i="1"/>
  <c r="S861" i="1"/>
  <c r="R861" i="1"/>
  <c r="D861" i="1"/>
  <c r="Q861" i="1" s="1"/>
  <c r="V861" i="1" s="1"/>
  <c r="W860" i="1"/>
  <c r="U860" i="1"/>
  <c r="T860" i="1"/>
  <c r="S860" i="1"/>
  <c r="R860" i="1"/>
  <c r="D860" i="1"/>
  <c r="Q860" i="1" s="1"/>
  <c r="V860" i="1" s="1"/>
  <c r="W859" i="1"/>
  <c r="U859" i="1"/>
  <c r="T859" i="1"/>
  <c r="S859" i="1"/>
  <c r="R859" i="1"/>
  <c r="D859" i="1"/>
  <c r="Q859" i="1" s="1"/>
  <c r="V859" i="1" s="1"/>
  <c r="W858" i="1"/>
  <c r="U858" i="1"/>
  <c r="T858" i="1"/>
  <c r="S858" i="1"/>
  <c r="R858" i="1"/>
  <c r="D858" i="1"/>
  <c r="Q858" i="1" s="1"/>
  <c r="V858" i="1" s="1"/>
  <c r="W857" i="1"/>
  <c r="U857" i="1"/>
  <c r="T857" i="1"/>
  <c r="S857" i="1"/>
  <c r="R857" i="1"/>
  <c r="D857" i="1"/>
  <c r="Q857" i="1" s="1"/>
  <c r="V857" i="1" s="1"/>
  <c r="W856" i="1"/>
  <c r="U856" i="1"/>
  <c r="T856" i="1"/>
  <c r="S856" i="1"/>
  <c r="R856" i="1"/>
  <c r="D856" i="1"/>
  <c r="Q856" i="1" s="1"/>
  <c r="V856" i="1" s="1"/>
  <c r="W855" i="1"/>
  <c r="U855" i="1"/>
  <c r="T855" i="1"/>
  <c r="S855" i="1"/>
  <c r="R855" i="1"/>
  <c r="D855" i="1"/>
  <c r="Q855" i="1" s="1"/>
  <c r="V855" i="1" s="1"/>
  <c r="W854" i="1"/>
  <c r="U854" i="1"/>
  <c r="T854" i="1"/>
  <c r="S854" i="1"/>
  <c r="R854" i="1"/>
  <c r="D854" i="1"/>
  <c r="Q854" i="1" s="1"/>
  <c r="V854" i="1" s="1"/>
  <c r="W853" i="1"/>
  <c r="U853" i="1"/>
  <c r="T853" i="1"/>
  <c r="S853" i="1"/>
  <c r="R853" i="1"/>
  <c r="D853" i="1"/>
  <c r="Q853" i="1" s="1"/>
  <c r="V853" i="1" s="1"/>
  <c r="W852" i="1"/>
  <c r="U852" i="1"/>
  <c r="T852" i="1"/>
  <c r="S852" i="1"/>
  <c r="R852" i="1"/>
  <c r="D852" i="1"/>
  <c r="Q852" i="1" s="1"/>
  <c r="V852" i="1" s="1"/>
  <c r="W851" i="1"/>
  <c r="U851" i="1"/>
  <c r="T851" i="1"/>
  <c r="S851" i="1"/>
  <c r="R851" i="1"/>
  <c r="D851" i="1"/>
  <c r="Q851" i="1" s="1"/>
  <c r="V851" i="1" s="1"/>
  <c r="W850" i="1"/>
  <c r="U850" i="1"/>
  <c r="T850" i="1"/>
  <c r="S850" i="1"/>
  <c r="R850" i="1"/>
  <c r="D850" i="1"/>
  <c r="Q850" i="1" s="1"/>
  <c r="V850" i="1" s="1"/>
  <c r="W849" i="1"/>
  <c r="U849" i="1"/>
  <c r="T849" i="1"/>
  <c r="S849" i="1"/>
  <c r="R849" i="1"/>
  <c r="D849" i="1"/>
  <c r="Q849" i="1" s="1"/>
  <c r="V849" i="1" s="1"/>
  <c r="W848" i="1"/>
  <c r="U848" i="1"/>
  <c r="T848" i="1"/>
  <c r="S848" i="1"/>
  <c r="R848" i="1"/>
  <c r="D848" i="1"/>
  <c r="Q848" i="1" s="1"/>
  <c r="V848" i="1" s="1"/>
  <c r="W847" i="1"/>
  <c r="U847" i="1"/>
  <c r="T847" i="1"/>
  <c r="S847" i="1"/>
  <c r="R847" i="1"/>
  <c r="Q847" i="1"/>
  <c r="V847" i="1" s="1"/>
  <c r="D847" i="1"/>
  <c r="W846" i="1"/>
  <c r="U846" i="1"/>
  <c r="T846" i="1"/>
  <c r="S846" i="1"/>
  <c r="R846" i="1"/>
  <c r="D846" i="1"/>
  <c r="Q846" i="1" s="1"/>
  <c r="V846" i="1" s="1"/>
  <c r="W845" i="1"/>
  <c r="U845" i="1"/>
  <c r="T845" i="1"/>
  <c r="S845" i="1"/>
  <c r="R845" i="1"/>
  <c r="D845" i="1"/>
  <c r="Q845" i="1" s="1"/>
  <c r="V845" i="1" s="1"/>
  <c r="W844" i="1"/>
  <c r="U844" i="1"/>
  <c r="T844" i="1"/>
  <c r="S844" i="1"/>
  <c r="R844" i="1"/>
  <c r="D844" i="1"/>
  <c r="Q844" i="1" s="1"/>
  <c r="V844" i="1" s="1"/>
  <c r="W843" i="1"/>
  <c r="U843" i="1"/>
  <c r="T843" i="1"/>
  <c r="S843" i="1"/>
  <c r="R843" i="1"/>
  <c r="D843" i="1"/>
  <c r="Q843" i="1" s="1"/>
  <c r="V843" i="1" s="1"/>
  <c r="W842" i="1"/>
  <c r="U842" i="1"/>
  <c r="T842" i="1"/>
  <c r="S842" i="1"/>
  <c r="R842" i="1"/>
  <c r="D842" i="1"/>
  <c r="Q842" i="1" s="1"/>
  <c r="V842" i="1" s="1"/>
  <c r="W841" i="1"/>
  <c r="U841" i="1"/>
  <c r="T841" i="1"/>
  <c r="S841" i="1"/>
  <c r="R841" i="1"/>
  <c r="D841" i="1"/>
  <c r="Q841" i="1" s="1"/>
  <c r="V841" i="1" s="1"/>
  <c r="W840" i="1"/>
  <c r="U840" i="1"/>
  <c r="T840" i="1"/>
  <c r="S840" i="1"/>
  <c r="R840" i="1"/>
  <c r="D840" i="1"/>
  <c r="Q840" i="1" s="1"/>
  <c r="V840" i="1" s="1"/>
  <c r="W839" i="1"/>
  <c r="U839" i="1"/>
  <c r="T839" i="1"/>
  <c r="S839" i="1"/>
  <c r="R839" i="1"/>
  <c r="D839" i="1"/>
  <c r="Q839" i="1" s="1"/>
  <c r="V839" i="1" s="1"/>
  <c r="W838" i="1"/>
  <c r="U838" i="1"/>
  <c r="T838" i="1"/>
  <c r="S838" i="1"/>
  <c r="R838" i="1"/>
  <c r="D838" i="1"/>
  <c r="Q838" i="1" s="1"/>
  <c r="V838" i="1" s="1"/>
  <c r="W837" i="1"/>
  <c r="U837" i="1"/>
  <c r="T837" i="1"/>
  <c r="S837" i="1"/>
  <c r="R837" i="1"/>
  <c r="D837" i="1"/>
  <c r="Q837" i="1" s="1"/>
  <c r="V837" i="1" s="1"/>
  <c r="W836" i="1"/>
  <c r="U836" i="1"/>
  <c r="T836" i="1"/>
  <c r="S836" i="1"/>
  <c r="R836" i="1"/>
  <c r="D836" i="1"/>
  <c r="Q836" i="1" s="1"/>
  <c r="V836" i="1" s="1"/>
  <c r="W835" i="1"/>
  <c r="U835" i="1"/>
  <c r="T835" i="1"/>
  <c r="S835" i="1"/>
  <c r="R835" i="1"/>
  <c r="D835" i="1"/>
  <c r="Q835" i="1" s="1"/>
  <c r="V835" i="1" s="1"/>
  <c r="W834" i="1"/>
  <c r="U834" i="1"/>
  <c r="T834" i="1"/>
  <c r="S834" i="1"/>
  <c r="R834" i="1"/>
  <c r="D834" i="1"/>
  <c r="Q834" i="1" s="1"/>
  <c r="V834" i="1" s="1"/>
  <c r="W833" i="1"/>
  <c r="U833" i="1"/>
  <c r="T833" i="1"/>
  <c r="S833" i="1"/>
  <c r="R833" i="1"/>
  <c r="D833" i="1"/>
  <c r="Q833" i="1" s="1"/>
  <c r="V833" i="1" s="1"/>
  <c r="W832" i="1"/>
  <c r="U832" i="1"/>
  <c r="T832" i="1"/>
  <c r="S832" i="1"/>
  <c r="R832" i="1"/>
  <c r="D832" i="1"/>
  <c r="Q832" i="1" s="1"/>
  <c r="V832" i="1" s="1"/>
  <c r="W831" i="1"/>
  <c r="U831" i="1"/>
  <c r="T831" i="1"/>
  <c r="S831" i="1"/>
  <c r="R831" i="1"/>
  <c r="D831" i="1"/>
  <c r="Q831" i="1" s="1"/>
  <c r="V831" i="1" s="1"/>
  <c r="W830" i="1"/>
  <c r="V830" i="1"/>
  <c r="U830" i="1"/>
  <c r="T830" i="1"/>
  <c r="S830" i="1"/>
  <c r="R830" i="1"/>
  <c r="D830" i="1"/>
  <c r="Q830" i="1" s="1"/>
  <c r="W829" i="1"/>
  <c r="U829" i="1"/>
  <c r="T829" i="1"/>
  <c r="S829" i="1"/>
  <c r="R829" i="1"/>
  <c r="D829" i="1"/>
  <c r="Q829" i="1" s="1"/>
  <c r="V829" i="1" s="1"/>
  <c r="W828" i="1"/>
  <c r="V828" i="1"/>
  <c r="U828" i="1"/>
  <c r="T828" i="1"/>
  <c r="S828" i="1"/>
  <c r="R828" i="1"/>
  <c r="D828" i="1"/>
  <c r="Q828" i="1" s="1"/>
  <c r="W827" i="1"/>
  <c r="V827" i="1"/>
  <c r="U827" i="1"/>
  <c r="T827" i="1"/>
  <c r="S827" i="1"/>
  <c r="R827" i="1"/>
  <c r="D827" i="1"/>
  <c r="Q827" i="1" s="1"/>
  <c r="W826" i="1"/>
  <c r="V826" i="1"/>
  <c r="U826" i="1"/>
  <c r="T826" i="1"/>
  <c r="S826" i="1"/>
  <c r="R826" i="1"/>
  <c r="D826" i="1"/>
  <c r="Q826" i="1" s="1"/>
  <c r="W825" i="1"/>
  <c r="U825" i="1"/>
  <c r="T825" i="1"/>
  <c r="S825" i="1"/>
  <c r="R825" i="1"/>
  <c r="D825" i="1"/>
  <c r="Q825" i="1" s="1"/>
  <c r="V825" i="1" s="1"/>
  <c r="W824" i="1"/>
  <c r="U824" i="1"/>
  <c r="T824" i="1"/>
  <c r="S824" i="1"/>
  <c r="R824" i="1"/>
  <c r="D824" i="1"/>
  <c r="Q824" i="1" s="1"/>
  <c r="V824" i="1" s="1"/>
  <c r="W823" i="1"/>
  <c r="U823" i="1"/>
  <c r="T823" i="1"/>
  <c r="S823" i="1"/>
  <c r="R823" i="1"/>
  <c r="D823" i="1"/>
  <c r="Q823" i="1" s="1"/>
  <c r="V823" i="1" s="1"/>
  <c r="W822" i="1"/>
  <c r="V822" i="1"/>
  <c r="U822" i="1"/>
  <c r="T822" i="1"/>
  <c r="S822" i="1"/>
  <c r="R822" i="1"/>
  <c r="D822" i="1"/>
  <c r="Q822" i="1" s="1"/>
  <c r="W821" i="1"/>
  <c r="U821" i="1"/>
  <c r="T821" i="1"/>
  <c r="S821" i="1"/>
  <c r="R821" i="1"/>
  <c r="D821" i="1"/>
  <c r="Q821" i="1" s="1"/>
  <c r="V821" i="1" s="1"/>
  <c r="W820" i="1"/>
  <c r="V820" i="1"/>
  <c r="U820" i="1"/>
  <c r="T820" i="1"/>
  <c r="S820" i="1"/>
  <c r="R820" i="1"/>
  <c r="D820" i="1"/>
  <c r="Q820" i="1" s="1"/>
  <c r="W819" i="1"/>
  <c r="V819" i="1"/>
  <c r="U819" i="1"/>
  <c r="T819" i="1"/>
  <c r="S819" i="1"/>
  <c r="R819" i="1"/>
  <c r="D819" i="1"/>
  <c r="Q819" i="1" s="1"/>
  <c r="W818" i="1"/>
  <c r="V818" i="1"/>
  <c r="U818" i="1"/>
  <c r="T818" i="1"/>
  <c r="S818" i="1"/>
  <c r="R818" i="1"/>
  <c r="D818" i="1"/>
  <c r="Q818" i="1" s="1"/>
  <c r="W817" i="1"/>
  <c r="U817" i="1"/>
  <c r="T817" i="1"/>
  <c r="S817" i="1"/>
  <c r="R817" i="1"/>
  <c r="D817" i="1"/>
  <c r="Q817" i="1" s="1"/>
  <c r="V817" i="1" s="1"/>
  <c r="W816" i="1"/>
  <c r="V816" i="1"/>
  <c r="U816" i="1"/>
  <c r="T816" i="1"/>
  <c r="S816" i="1"/>
  <c r="R816" i="1"/>
  <c r="D816" i="1"/>
  <c r="Q816" i="1" s="1"/>
  <c r="W815" i="1"/>
  <c r="U815" i="1"/>
  <c r="T815" i="1"/>
  <c r="S815" i="1"/>
  <c r="R815" i="1"/>
  <c r="D815" i="1"/>
  <c r="Q815" i="1" s="1"/>
  <c r="V815" i="1" s="1"/>
  <c r="W814" i="1"/>
  <c r="V814" i="1"/>
  <c r="U814" i="1"/>
  <c r="T814" i="1"/>
  <c r="S814" i="1"/>
  <c r="R814" i="1"/>
  <c r="D814" i="1"/>
  <c r="Q814" i="1" s="1"/>
  <c r="W813" i="1"/>
  <c r="U813" i="1"/>
  <c r="T813" i="1"/>
  <c r="S813" i="1"/>
  <c r="R813" i="1"/>
  <c r="D813" i="1"/>
  <c r="Q813" i="1" s="1"/>
  <c r="V813" i="1" s="1"/>
  <c r="W812" i="1"/>
  <c r="V812" i="1"/>
  <c r="U812" i="1"/>
  <c r="T812" i="1"/>
  <c r="S812" i="1"/>
  <c r="R812" i="1"/>
  <c r="D812" i="1"/>
  <c r="Q812" i="1" s="1"/>
  <c r="W811" i="1"/>
  <c r="V811" i="1"/>
  <c r="U811" i="1"/>
  <c r="T811" i="1"/>
  <c r="S811" i="1"/>
  <c r="R811" i="1"/>
  <c r="D811" i="1"/>
  <c r="Q811" i="1" s="1"/>
  <c r="W810" i="1"/>
  <c r="V810" i="1"/>
  <c r="U810" i="1"/>
  <c r="T810" i="1"/>
  <c r="S810" i="1"/>
  <c r="R810" i="1"/>
  <c r="D810" i="1"/>
  <c r="Q810" i="1" s="1"/>
  <c r="W809" i="1"/>
  <c r="U809" i="1"/>
  <c r="T809" i="1"/>
  <c r="S809" i="1"/>
  <c r="R809" i="1"/>
  <c r="D809" i="1"/>
  <c r="Q809" i="1" s="1"/>
  <c r="V809" i="1" s="1"/>
  <c r="W808" i="1"/>
  <c r="V808" i="1"/>
  <c r="U808" i="1"/>
  <c r="T808" i="1"/>
  <c r="S808" i="1"/>
  <c r="R808" i="1"/>
  <c r="D808" i="1"/>
  <c r="Q808" i="1" s="1"/>
  <c r="W807" i="1"/>
  <c r="U807" i="1"/>
  <c r="T807" i="1"/>
  <c r="S807" i="1"/>
  <c r="R807" i="1"/>
  <c r="D807" i="1"/>
  <c r="Q807" i="1" s="1"/>
  <c r="V807" i="1" s="1"/>
  <c r="W806" i="1"/>
  <c r="V806" i="1"/>
  <c r="U806" i="1"/>
  <c r="T806" i="1"/>
  <c r="S806" i="1"/>
  <c r="R806" i="1"/>
  <c r="D806" i="1"/>
  <c r="Q806" i="1" s="1"/>
  <c r="W805" i="1"/>
  <c r="U805" i="1"/>
  <c r="T805" i="1"/>
  <c r="S805" i="1"/>
  <c r="R805" i="1"/>
  <c r="D805" i="1"/>
  <c r="Q805" i="1" s="1"/>
  <c r="V805" i="1" s="1"/>
  <c r="W804" i="1"/>
  <c r="V804" i="1"/>
  <c r="U804" i="1"/>
  <c r="T804" i="1"/>
  <c r="S804" i="1"/>
  <c r="R804" i="1"/>
  <c r="D804" i="1"/>
  <c r="Q804" i="1" s="1"/>
  <c r="W803" i="1"/>
  <c r="V803" i="1"/>
  <c r="U803" i="1"/>
  <c r="T803" i="1"/>
  <c r="S803" i="1"/>
  <c r="R803" i="1"/>
  <c r="D803" i="1"/>
  <c r="Q803" i="1" s="1"/>
  <c r="W802" i="1"/>
  <c r="V802" i="1"/>
  <c r="U802" i="1"/>
  <c r="T802" i="1"/>
  <c r="S802" i="1"/>
  <c r="R802" i="1"/>
  <c r="D802" i="1"/>
  <c r="Q802" i="1" s="1"/>
  <c r="W801" i="1"/>
  <c r="U801" i="1"/>
  <c r="T801" i="1"/>
  <c r="S801" i="1"/>
  <c r="R801" i="1"/>
  <c r="D801" i="1"/>
  <c r="Q801" i="1" s="1"/>
  <c r="V801" i="1" s="1"/>
  <c r="W800" i="1"/>
  <c r="V800" i="1"/>
  <c r="U800" i="1"/>
  <c r="T800" i="1"/>
  <c r="S800" i="1"/>
  <c r="R800" i="1"/>
  <c r="D800" i="1"/>
  <c r="Q800" i="1" s="1"/>
  <c r="W799" i="1"/>
  <c r="U799" i="1"/>
  <c r="T799" i="1"/>
  <c r="S799" i="1"/>
  <c r="R799" i="1"/>
  <c r="D799" i="1"/>
  <c r="Q799" i="1" s="1"/>
  <c r="V799" i="1" s="1"/>
  <c r="W798" i="1"/>
  <c r="V798" i="1"/>
  <c r="U798" i="1"/>
  <c r="T798" i="1"/>
  <c r="S798" i="1"/>
  <c r="R798" i="1"/>
  <c r="D798" i="1"/>
  <c r="Q798" i="1" s="1"/>
  <c r="W797" i="1"/>
  <c r="U797" i="1"/>
  <c r="T797" i="1"/>
  <c r="S797" i="1"/>
  <c r="R797" i="1"/>
  <c r="D797" i="1"/>
  <c r="Q797" i="1" s="1"/>
  <c r="V797" i="1" s="1"/>
  <c r="W796" i="1"/>
  <c r="V796" i="1"/>
  <c r="U796" i="1"/>
  <c r="T796" i="1"/>
  <c r="S796" i="1"/>
  <c r="R796" i="1"/>
  <c r="D796" i="1"/>
  <c r="Q796" i="1" s="1"/>
  <c r="W795" i="1"/>
  <c r="V795" i="1"/>
  <c r="U795" i="1"/>
  <c r="T795" i="1"/>
  <c r="S795" i="1"/>
  <c r="R795" i="1"/>
  <c r="D795" i="1"/>
  <c r="Q795" i="1" s="1"/>
  <c r="W794" i="1"/>
  <c r="V794" i="1"/>
  <c r="U794" i="1"/>
  <c r="T794" i="1"/>
  <c r="S794" i="1"/>
  <c r="R794" i="1"/>
  <c r="D794" i="1"/>
  <c r="Q794" i="1" s="1"/>
  <c r="W793" i="1"/>
  <c r="U793" i="1"/>
  <c r="T793" i="1"/>
  <c r="S793" i="1"/>
  <c r="R793" i="1"/>
  <c r="D793" i="1"/>
  <c r="Q793" i="1" s="1"/>
  <c r="V793" i="1" s="1"/>
  <c r="W792" i="1"/>
  <c r="V792" i="1"/>
  <c r="U792" i="1"/>
  <c r="T792" i="1"/>
  <c r="S792" i="1"/>
  <c r="R792" i="1"/>
  <c r="D792" i="1"/>
  <c r="Q792" i="1" s="1"/>
  <c r="W791" i="1"/>
  <c r="U791" i="1"/>
  <c r="T791" i="1"/>
  <c r="S791" i="1"/>
  <c r="R791" i="1"/>
  <c r="D791" i="1"/>
  <c r="Q791" i="1" s="1"/>
  <c r="V791" i="1" s="1"/>
  <c r="W790" i="1"/>
  <c r="V790" i="1"/>
  <c r="U790" i="1"/>
  <c r="T790" i="1"/>
  <c r="S790" i="1"/>
  <c r="R790" i="1"/>
  <c r="D790" i="1"/>
  <c r="Q790" i="1" s="1"/>
  <c r="W789" i="1"/>
  <c r="U789" i="1"/>
  <c r="T789" i="1"/>
  <c r="S789" i="1"/>
  <c r="R789" i="1"/>
  <c r="D789" i="1"/>
  <c r="Q789" i="1" s="1"/>
  <c r="V789" i="1" s="1"/>
  <c r="W788" i="1"/>
  <c r="V788" i="1"/>
  <c r="U788" i="1"/>
  <c r="T788" i="1"/>
  <c r="S788" i="1"/>
  <c r="R788" i="1"/>
  <c r="D788" i="1"/>
  <c r="Q788" i="1" s="1"/>
  <c r="W787" i="1"/>
  <c r="V787" i="1"/>
  <c r="U787" i="1"/>
  <c r="T787" i="1"/>
  <c r="S787" i="1"/>
  <c r="R787" i="1"/>
  <c r="D787" i="1"/>
  <c r="Q787" i="1" s="1"/>
  <c r="W786" i="1"/>
  <c r="V786" i="1"/>
  <c r="U786" i="1"/>
  <c r="T786" i="1"/>
  <c r="S786" i="1"/>
  <c r="R786" i="1"/>
  <c r="D786" i="1"/>
  <c r="Q786" i="1" s="1"/>
  <c r="W785" i="1"/>
  <c r="U785" i="1"/>
  <c r="T785" i="1"/>
  <c r="S785" i="1"/>
  <c r="R785" i="1"/>
  <c r="D785" i="1"/>
  <c r="Q785" i="1" s="1"/>
  <c r="V785" i="1" s="1"/>
  <c r="W784" i="1"/>
  <c r="V784" i="1"/>
  <c r="U784" i="1"/>
  <c r="T784" i="1"/>
  <c r="S784" i="1"/>
  <c r="R784" i="1"/>
  <c r="D784" i="1"/>
  <c r="Q784" i="1" s="1"/>
  <c r="W783" i="1"/>
  <c r="U783" i="1"/>
  <c r="T783" i="1"/>
  <c r="S783" i="1"/>
  <c r="R783" i="1"/>
  <c r="D783" i="1"/>
  <c r="Q783" i="1" s="1"/>
  <c r="V783" i="1" s="1"/>
  <c r="W782" i="1"/>
  <c r="V782" i="1"/>
  <c r="U782" i="1"/>
  <c r="T782" i="1"/>
  <c r="S782" i="1"/>
  <c r="R782" i="1"/>
  <c r="D782" i="1"/>
  <c r="Q782" i="1" s="1"/>
  <c r="W781" i="1"/>
  <c r="U781" i="1"/>
  <c r="T781" i="1"/>
  <c r="S781" i="1"/>
  <c r="R781" i="1"/>
  <c r="Q781" i="1"/>
  <c r="V781" i="1" s="1"/>
  <c r="D781" i="1"/>
  <c r="W780" i="1"/>
  <c r="U780" i="1"/>
  <c r="T780" i="1"/>
  <c r="S780" i="1"/>
  <c r="R780" i="1"/>
  <c r="D780" i="1"/>
  <c r="Q780" i="1" s="1"/>
  <c r="V780" i="1" s="1"/>
  <c r="W779" i="1"/>
  <c r="V779" i="1"/>
  <c r="U779" i="1"/>
  <c r="T779" i="1"/>
  <c r="S779" i="1"/>
  <c r="R779" i="1"/>
  <c r="D779" i="1"/>
  <c r="Q779" i="1" s="1"/>
  <c r="W778" i="1"/>
  <c r="V778" i="1"/>
  <c r="U778" i="1"/>
  <c r="T778" i="1"/>
  <c r="S778" i="1"/>
  <c r="R778" i="1"/>
  <c r="D778" i="1"/>
  <c r="Q778" i="1" s="1"/>
  <c r="W777" i="1"/>
  <c r="V777" i="1"/>
  <c r="U777" i="1"/>
  <c r="T777" i="1"/>
  <c r="S777" i="1"/>
  <c r="R777" i="1"/>
  <c r="D777" i="1"/>
  <c r="Q777" i="1" s="1"/>
  <c r="W776" i="1"/>
  <c r="U776" i="1"/>
  <c r="T776" i="1"/>
  <c r="S776" i="1"/>
  <c r="R776" i="1"/>
  <c r="D776" i="1"/>
  <c r="Q776" i="1" s="1"/>
  <c r="V776" i="1" s="1"/>
  <c r="W775" i="1"/>
  <c r="V775" i="1"/>
  <c r="U775" i="1"/>
  <c r="T775" i="1"/>
  <c r="S775" i="1"/>
  <c r="R775" i="1"/>
  <c r="D775" i="1"/>
  <c r="Q775" i="1" s="1"/>
  <c r="W774" i="1"/>
  <c r="U774" i="1"/>
  <c r="T774" i="1"/>
  <c r="S774" i="1"/>
  <c r="R774" i="1"/>
  <c r="D774" i="1"/>
  <c r="Q774" i="1" s="1"/>
  <c r="V774" i="1" s="1"/>
  <c r="W773" i="1"/>
  <c r="V773" i="1"/>
  <c r="U773" i="1"/>
  <c r="T773" i="1"/>
  <c r="S773" i="1"/>
  <c r="R773" i="1"/>
  <c r="D773" i="1"/>
  <c r="Q773" i="1" s="1"/>
  <c r="W772" i="1"/>
  <c r="U772" i="1"/>
  <c r="T772" i="1"/>
  <c r="S772" i="1"/>
  <c r="R772" i="1"/>
  <c r="D772" i="1"/>
  <c r="Q772" i="1" s="1"/>
  <c r="V772" i="1" s="1"/>
  <c r="W771" i="1"/>
  <c r="V771" i="1"/>
  <c r="U771" i="1"/>
  <c r="T771" i="1"/>
  <c r="S771" i="1"/>
  <c r="R771" i="1"/>
  <c r="D771" i="1"/>
  <c r="Q771" i="1" s="1"/>
  <c r="W770" i="1"/>
  <c r="V770" i="1"/>
  <c r="U770" i="1"/>
  <c r="T770" i="1"/>
  <c r="S770" i="1"/>
  <c r="R770" i="1"/>
  <c r="D770" i="1"/>
  <c r="Q770" i="1" s="1"/>
  <c r="W769" i="1"/>
  <c r="V769" i="1"/>
  <c r="U769" i="1"/>
  <c r="T769" i="1"/>
  <c r="S769" i="1"/>
  <c r="R769" i="1"/>
  <c r="D769" i="1"/>
  <c r="Q769" i="1" s="1"/>
  <c r="W768" i="1"/>
  <c r="U768" i="1"/>
  <c r="T768" i="1"/>
  <c r="S768" i="1"/>
  <c r="R768" i="1"/>
  <c r="D768" i="1"/>
  <c r="Q768" i="1" s="1"/>
  <c r="V768" i="1" s="1"/>
  <c r="W767" i="1"/>
  <c r="V767" i="1"/>
  <c r="U767" i="1"/>
  <c r="T767" i="1"/>
  <c r="S767" i="1"/>
  <c r="R767" i="1"/>
  <c r="D767" i="1"/>
  <c r="Q767" i="1" s="1"/>
  <c r="W766" i="1"/>
  <c r="U766" i="1"/>
  <c r="T766" i="1"/>
  <c r="S766" i="1"/>
  <c r="R766" i="1"/>
  <c r="D766" i="1"/>
  <c r="Q766" i="1" s="1"/>
  <c r="V766" i="1" s="1"/>
  <c r="W765" i="1"/>
  <c r="V765" i="1"/>
  <c r="U765" i="1"/>
  <c r="T765" i="1"/>
  <c r="S765" i="1"/>
  <c r="R765" i="1"/>
  <c r="D765" i="1"/>
  <c r="Q765" i="1" s="1"/>
  <c r="W764" i="1"/>
  <c r="U764" i="1"/>
  <c r="T764" i="1"/>
  <c r="S764" i="1"/>
  <c r="R764" i="1"/>
  <c r="D764" i="1"/>
  <c r="Q764" i="1" s="1"/>
  <c r="V764" i="1" s="1"/>
  <c r="W763" i="1"/>
  <c r="V763" i="1"/>
  <c r="U763" i="1"/>
  <c r="T763" i="1"/>
  <c r="S763" i="1"/>
  <c r="R763" i="1"/>
  <c r="D763" i="1"/>
  <c r="Q763" i="1" s="1"/>
  <c r="W762" i="1"/>
  <c r="V762" i="1"/>
  <c r="U762" i="1"/>
  <c r="T762" i="1"/>
  <c r="S762" i="1"/>
  <c r="R762" i="1"/>
  <c r="D762" i="1"/>
  <c r="Q762" i="1" s="1"/>
  <c r="W761" i="1"/>
  <c r="V761" i="1"/>
  <c r="U761" i="1"/>
  <c r="T761" i="1"/>
  <c r="S761" i="1"/>
  <c r="R761" i="1"/>
  <c r="D761" i="1"/>
  <c r="Q761" i="1" s="1"/>
  <c r="W760" i="1"/>
  <c r="U760" i="1"/>
  <c r="T760" i="1"/>
  <c r="S760" i="1"/>
  <c r="R760" i="1"/>
  <c r="D760" i="1"/>
  <c r="Q760" i="1" s="1"/>
  <c r="V760" i="1" s="1"/>
  <c r="W759" i="1"/>
  <c r="V759" i="1"/>
  <c r="U759" i="1"/>
  <c r="T759" i="1"/>
  <c r="S759" i="1"/>
  <c r="R759" i="1"/>
  <c r="D759" i="1"/>
  <c r="Q759" i="1" s="1"/>
  <c r="W758" i="1"/>
  <c r="U758" i="1"/>
  <c r="T758" i="1"/>
  <c r="S758" i="1"/>
  <c r="R758" i="1"/>
  <c r="D758" i="1"/>
  <c r="Q758" i="1" s="1"/>
  <c r="V758" i="1" s="1"/>
  <c r="W757" i="1"/>
  <c r="V757" i="1"/>
  <c r="U757" i="1"/>
  <c r="T757" i="1"/>
  <c r="S757" i="1"/>
  <c r="R757" i="1"/>
  <c r="D757" i="1"/>
  <c r="Q757" i="1" s="1"/>
  <c r="W756" i="1"/>
  <c r="U756" i="1"/>
  <c r="T756" i="1"/>
  <c r="S756" i="1"/>
  <c r="R756" i="1"/>
  <c r="D756" i="1"/>
  <c r="Q756" i="1" s="1"/>
  <c r="V756" i="1" s="1"/>
  <c r="W755" i="1"/>
  <c r="V755" i="1"/>
  <c r="U755" i="1"/>
  <c r="T755" i="1"/>
  <c r="S755" i="1"/>
  <c r="R755" i="1"/>
  <c r="D755" i="1"/>
  <c r="Q755" i="1" s="1"/>
  <c r="W754" i="1"/>
  <c r="V754" i="1"/>
  <c r="U754" i="1"/>
  <c r="T754" i="1"/>
  <c r="S754" i="1"/>
  <c r="R754" i="1"/>
  <c r="D754" i="1"/>
  <c r="Q754" i="1" s="1"/>
  <c r="W753" i="1"/>
  <c r="V753" i="1"/>
  <c r="U753" i="1"/>
  <c r="T753" i="1"/>
  <c r="S753" i="1"/>
  <c r="R753" i="1"/>
  <c r="D753" i="1"/>
  <c r="Q753" i="1" s="1"/>
  <c r="W752" i="1"/>
  <c r="U752" i="1"/>
  <c r="T752" i="1"/>
  <c r="S752" i="1"/>
  <c r="R752" i="1"/>
  <c r="D752" i="1"/>
  <c r="Q752" i="1" s="1"/>
  <c r="V752" i="1" s="1"/>
  <c r="W751" i="1"/>
  <c r="V751" i="1"/>
  <c r="U751" i="1"/>
  <c r="T751" i="1"/>
  <c r="S751" i="1"/>
  <c r="R751" i="1"/>
  <c r="D751" i="1"/>
  <c r="Q751" i="1" s="1"/>
  <c r="W750" i="1"/>
  <c r="U750" i="1"/>
  <c r="T750" i="1"/>
  <c r="S750" i="1"/>
  <c r="R750" i="1"/>
  <c r="D750" i="1"/>
  <c r="Q750" i="1" s="1"/>
  <c r="V750" i="1" s="1"/>
  <c r="W749" i="1"/>
  <c r="V749" i="1"/>
  <c r="U749" i="1"/>
  <c r="T749" i="1"/>
  <c r="S749" i="1"/>
  <c r="R749" i="1"/>
  <c r="D749" i="1"/>
  <c r="Q749" i="1" s="1"/>
  <c r="W748" i="1"/>
  <c r="U748" i="1"/>
  <c r="T748" i="1"/>
  <c r="S748" i="1"/>
  <c r="R748" i="1"/>
  <c r="D748" i="1"/>
  <c r="Q748" i="1" s="1"/>
  <c r="V748" i="1" s="1"/>
  <c r="W747" i="1"/>
  <c r="V747" i="1"/>
  <c r="U747" i="1"/>
  <c r="T747" i="1"/>
  <c r="S747" i="1"/>
  <c r="R747" i="1"/>
  <c r="D747" i="1"/>
  <c r="Q747" i="1" s="1"/>
  <c r="W746" i="1"/>
  <c r="V746" i="1"/>
  <c r="U746" i="1"/>
  <c r="T746" i="1"/>
  <c r="S746" i="1"/>
  <c r="R746" i="1"/>
  <c r="D746" i="1"/>
  <c r="Q746" i="1" s="1"/>
  <c r="W745" i="1"/>
  <c r="V745" i="1"/>
  <c r="U745" i="1"/>
  <c r="T745" i="1"/>
  <c r="S745" i="1"/>
  <c r="R745" i="1"/>
  <c r="D745" i="1"/>
  <c r="Q745" i="1" s="1"/>
  <c r="W744" i="1"/>
  <c r="U744" i="1"/>
  <c r="T744" i="1"/>
  <c r="S744" i="1"/>
  <c r="R744" i="1"/>
  <c r="D744" i="1"/>
  <c r="Q744" i="1" s="1"/>
  <c r="V744" i="1" s="1"/>
  <c r="W743" i="1"/>
  <c r="V743" i="1"/>
  <c r="U743" i="1"/>
  <c r="T743" i="1"/>
  <c r="S743" i="1"/>
  <c r="R743" i="1"/>
  <c r="D743" i="1"/>
  <c r="Q743" i="1" s="1"/>
  <c r="W742" i="1"/>
  <c r="U742" i="1"/>
  <c r="T742" i="1"/>
  <c r="S742" i="1"/>
  <c r="R742" i="1"/>
  <c r="D742" i="1"/>
  <c r="Q742" i="1" s="1"/>
  <c r="V742" i="1" s="1"/>
  <c r="W741" i="1"/>
  <c r="V741" i="1"/>
  <c r="U741" i="1"/>
  <c r="T741" i="1"/>
  <c r="S741" i="1"/>
  <c r="R741" i="1"/>
  <c r="D741" i="1"/>
  <c r="Q741" i="1" s="1"/>
  <c r="W740" i="1"/>
  <c r="U740" i="1"/>
  <c r="T740" i="1"/>
  <c r="S740" i="1"/>
  <c r="R740" i="1"/>
  <c r="D740" i="1"/>
  <c r="Q740" i="1" s="1"/>
  <c r="V740" i="1" s="1"/>
  <c r="W739" i="1"/>
  <c r="V739" i="1"/>
  <c r="U739" i="1"/>
  <c r="T739" i="1"/>
  <c r="S739" i="1"/>
  <c r="R739" i="1"/>
  <c r="D739" i="1"/>
  <c r="Q739" i="1" s="1"/>
  <c r="W738" i="1"/>
  <c r="V738" i="1"/>
  <c r="U738" i="1"/>
  <c r="T738" i="1"/>
  <c r="S738" i="1"/>
  <c r="R738" i="1"/>
  <c r="D738" i="1"/>
  <c r="Q738" i="1" s="1"/>
  <c r="W737" i="1"/>
  <c r="V737" i="1"/>
  <c r="U737" i="1"/>
  <c r="T737" i="1"/>
  <c r="S737" i="1"/>
  <c r="R737" i="1"/>
  <c r="D737" i="1"/>
  <c r="Q737" i="1" s="1"/>
  <c r="W736" i="1"/>
  <c r="U736" i="1"/>
  <c r="T736" i="1"/>
  <c r="S736" i="1"/>
  <c r="R736" i="1"/>
  <c r="D736" i="1"/>
  <c r="Q736" i="1" s="1"/>
  <c r="V736" i="1" s="1"/>
  <c r="W735" i="1"/>
  <c r="V735" i="1"/>
  <c r="U735" i="1"/>
  <c r="T735" i="1"/>
  <c r="S735" i="1"/>
  <c r="R735" i="1"/>
  <c r="D735" i="1"/>
  <c r="Q735" i="1" s="1"/>
  <c r="W734" i="1"/>
  <c r="U734" i="1"/>
  <c r="T734" i="1"/>
  <c r="S734" i="1"/>
  <c r="R734" i="1"/>
  <c r="D734" i="1"/>
  <c r="Q734" i="1" s="1"/>
  <c r="V734" i="1" s="1"/>
  <c r="W733" i="1"/>
  <c r="V733" i="1"/>
  <c r="U733" i="1"/>
  <c r="T733" i="1"/>
  <c r="S733" i="1"/>
  <c r="R733" i="1"/>
  <c r="D733" i="1"/>
  <c r="Q733" i="1" s="1"/>
  <c r="W732" i="1"/>
  <c r="U732" i="1"/>
  <c r="T732" i="1"/>
  <c r="S732" i="1"/>
  <c r="R732" i="1"/>
  <c r="D732" i="1"/>
  <c r="Q732" i="1" s="1"/>
  <c r="V732" i="1" s="1"/>
  <c r="W731" i="1"/>
  <c r="V731" i="1"/>
  <c r="U731" i="1"/>
  <c r="T731" i="1"/>
  <c r="S731" i="1"/>
  <c r="R731" i="1"/>
  <c r="D731" i="1"/>
  <c r="Q731" i="1" s="1"/>
  <c r="W730" i="1"/>
  <c r="V730" i="1"/>
  <c r="U730" i="1"/>
  <c r="T730" i="1"/>
  <c r="S730" i="1"/>
  <c r="R730" i="1"/>
  <c r="D730" i="1"/>
  <c r="Q730" i="1" s="1"/>
  <c r="W729" i="1"/>
  <c r="V729" i="1"/>
  <c r="U729" i="1"/>
  <c r="T729" i="1"/>
  <c r="S729" i="1"/>
  <c r="R729" i="1"/>
  <c r="D729" i="1"/>
  <c r="Q729" i="1" s="1"/>
  <c r="W728" i="1"/>
  <c r="U728" i="1"/>
  <c r="T728" i="1"/>
  <c r="S728" i="1"/>
  <c r="R728" i="1"/>
  <c r="D728" i="1"/>
  <c r="Q728" i="1" s="1"/>
  <c r="V728" i="1" s="1"/>
  <c r="W727" i="1"/>
  <c r="V727" i="1"/>
  <c r="U727" i="1"/>
  <c r="T727" i="1"/>
  <c r="S727" i="1"/>
  <c r="R727" i="1"/>
  <c r="D727" i="1"/>
  <c r="Q727" i="1" s="1"/>
  <c r="W726" i="1"/>
  <c r="U726" i="1"/>
  <c r="T726" i="1"/>
  <c r="S726" i="1"/>
  <c r="R726" i="1"/>
  <c r="D726" i="1"/>
  <c r="Q726" i="1" s="1"/>
  <c r="V726" i="1" s="1"/>
  <c r="W725" i="1"/>
  <c r="V725" i="1"/>
  <c r="U725" i="1"/>
  <c r="T725" i="1"/>
  <c r="S725" i="1"/>
  <c r="R725" i="1"/>
  <c r="D725" i="1"/>
  <c r="Q725" i="1" s="1"/>
  <c r="W724" i="1"/>
  <c r="U724" i="1"/>
  <c r="T724" i="1"/>
  <c r="S724" i="1"/>
  <c r="R724" i="1"/>
  <c r="D724" i="1"/>
  <c r="Q724" i="1" s="1"/>
  <c r="V724" i="1" s="1"/>
  <c r="W723" i="1"/>
  <c r="V723" i="1"/>
  <c r="U723" i="1"/>
  <c r="T723" i="1"/>
  <c r="S723" i="1"/>
  <c r="R723" i="1"/>
  <c r="D723" i="1"/>
  <c r="Q723" i="1" s="1"/>
  <c r="W722" i="1"/>
  <c r="V722" i="1"/>
  <c r="U722" i="1"/>
  <c r="T722" i="1"/>
  <c r="S722" i="1"/>
  <c r="R722" i="1"/>
  <c r="D722" i="1"/>
  <c r="Q722" i="1" s="1"/>
  <c r="W721" i="1"/>
  <c r="V721" i="1"/>
  <c r="U721" i="1"/>
  <c r="T721" i="1"/>
  <c r="S721" i="1"/>
  <c r="R721" i="1"/>
  <c r="D721" i="1"/>
  <c r="Q721" i="1" s="1"/>
  <c r="W720" i="1"/>
  <c r="U720" i="1"/>
  <c r="T720" i="1"/>
  <c r="S720" i="1"/>
  <c r="R720" i="1"/>
  <c r="D720" i="1"/>
  <c r="Q720" i="1" s="1"/>
  <c r="V720" i="1" s="1"/>
  <c r="W719" i="1"/>
  <c r="V719" i="1"/>
  <c r="U719" i="1"/>
  <c r="T719" i="1"/>
  <c r="S719" i="1"/>
  <c r="R719" i="1"/>
  <c r="D719" i="1"/>
  <c r="Q719" i="1" s="1"/>
  <c r="W718" i="1"/>
  <c r="U718" i="1"/>
  <c r="T718" i="1"/>
  <c r="S718" i="1"/>
  <c r="R718" i="1"/>
  <c r="D718" i="1"/>
  <c r="Q718" i="1" s="1"/>
  <c r="V718" i="1" s="1"/>
  <c r="W717" i="1"/>
  <c r="V717" i="1"/>
  <c r="U717" i="1"/>
  <c r="T717" i="1"/>
  <c r="S717" i="1"/>
  <c r="R717" i="1"/>
  <c r="D717" i="1"/>
  <c r="Q717" i="1" s="1"/>
  <c r="W716" i="1"/>
  <c r="U716" i="1"/>
  <c r="T716" i="1"/>
  <c r="S716" i="1"/>
  <c r="R716" i="1"/>
  <c r="D716" i="1"/>
  <c r="Q716" i="1" s="1"/>
  <c r="V716" i="1" s="1"/>
  <c r="W715" i="1"/>
  <c r="V715" i="1"/>
  <c r="U715" i="1"/>
  <c r="T715" i="1"/>
  <c r="S715" i="1"/>
  <c r="R715" i="1"/>
  <c r="D715" i="1"/>
  <c r="Q715" i="1" s="1"/>
  <c r="W714" i="1"/>
  <c r="V714" i="1"/>
  <c r="U714" i="1"/>
  <c r="T714" i="1"/>
  <c r="S714" i="1"/>
  <c r="R714" i="1"/>
  <c r="D714" i="1"/>
  <c r="Q714" i="1" s="1"/>
  <c r="W713" i="1"/>
  <c r="V713" i="1"/>
  <c r="U713" i="1"/>
  <c r="T713" i="1"/>
  <c r="S713" i="1"/>
  <c r="R713" i="1"/>
  <c r="D713" i="1"/>
  <c r="Q713" i="1" s="1"/>
  <c r="W712" i="1"/>
  <c r="U712" i="1"/>
  <c r="T712" i="1"/>
  <c r="S712" i="1"/>
  <c r="R712" i="1"/>
  <c r="D712" i="1"/>
  <c r="Q712" i="1" s="1"/>
  <c r="V712" i="1" s="1"/>
  <c r="W711" i="1"/>
  <c r="V711" i="1"/>
  <c r="U711" i="1"/>
  <c r="T711" i="1"/>
  <c r="S711" i="1"/>
  <c r="R711" i="1"/>
  <c r="D711" i="1"/>
  <c r="Q711" i="1" s="1"/>
  <c r="W710" i="1"/>
  <c r="U710" i="1"/>
  <c r="T710" i="1"/>
  <c r="S710" i="1"/>
  <c r="R710" i="1"/>
  <c r="D710" i="1"/>
  <c r="Q710" i="1" s="1"/>
  <c r="V710" i="1" s="1"/>
  <c r="W709" i="1"/>
  <c r="V709" i="1"/>
  <c r="U709" i="1"/>
  <c r="T709" i="1"/>
  <c r="S709" i="1"/>
  <c r="R709" i="1"/>
  <c r="D709" i="1"/>
  <c r="Q709" i="1" s="1"/>
  <c r="W708" i="1"/>
  <c r="U708" i="1"/>
  <c r="T708" i="1"/>
  <c r="S708" i="1"/>
  <c r="R708" i="1"/>
  <c r="D708" i="1"/>
  <c r="Q708" i="1" s="1"/>
  <c r="V708" i="1" s="1"/>
  <c r="W707" i="1"/>
  <c r="V707" i="1"/>
  <c r="U707" i="1"/>
  <c r="T707" i="1"/>
  <c r="S707" i="1"/>
  <c r="R707" i="1"/>
  <c r="D707" i="1"/>
  <c r="Q707" i="1" s="1"/>
  <c r="W706" i="1"/>
  <c r="V706" i="1"/>
  <c r="U706" i="1"/>
  <c r="T706" i="1"/>
  <c r="S706" i="1"/>
  <c r="R706" i="1"/>
  <c r="D706" i="1"/>
  <c r="Q706" i="1" s="1"/>
  <c r="W705" i="1"/>
  <c r="V705" i="1"/>
  <c r="U705" i="1"/>
  <c r="T705" i="1"/>
  <c r="S705" i="1"/>
  <c r="R705" i="1"/>
  <c r="D705" i="1"/>
  <c r="Q705" i="1" s="1"/>
  <c r="W704" i="1"/>
  <c r="U704" i="1"/>
  <c r="T704" i="1"/>
  <c r="S704" i="1"/>
  <c r="R704" i="1"/>
  <c r="D704" i="1"/>
  <c r="Q704" i="1" s="1"/>
  <c r="V704" i="1" s="1"/>
  <c r="W703" i="1"/>
  <c r="V703" i="1"/>
  <c r="U703" i="1"/>
  <c r="T703" i="1"/>
  <c r="S703" i="1"/>
  <c r="R703" i="1"/>
  <c r="D703" i="1"/>
  <c r="Q703" i="1" s="1"/>
  <c r="W702" i="1"/>
  <c r="U702" i="1"/>
  <c r="T702" i="1"/>
  <c r="S702" i="1"/>
  <c r="R702" i="1"/>
  <c r="D702" i="1"/>
  <c r="Q702" i="1" s="1"/>
  <c r="V702" i="1" s="1"/>
  <c r="W701" i="1"/>
  <c r="V701" i="1"/>
  <c r="U701" i="1"/>
  <c r="T701" i="1"/>
  <c r="S701" i="1"/>
  <c r="R701" i="1"/>
  <c r="D701" i="1"/>
  <c r="Q701" i="1" s="1"/>
  <c r="W700" i="1"/>
  <c r="U700" i="1"/>
  <c r="T700" i="1"/>
  <c r="S700" i="1"/>
  <c r="R700" i="1"/>
  <c r="D700" i="1"/>
  <c r="Q700" i="1" s="1"/>
  <c r="V700" i="1" s="1"/>
  <c r="W699" i="1"/>
  <c r="V699" i="1"/>
  <c r="U699" i="1"/>
  <c r="T699" i="1"/>
  <c r="S699" i="1"/>
  <c r="R699" i="1"/>
  <c r="D699" i="1"/>
  <c r="Q699" i="1" s="1"/>
  <c r="W698" i="1"/>
  <c r="V698" i="1"/>
  <c r="U698" i="1"/>
  <c r="T698" i="1"/>
  <c r="S698" i="1"/>
  <c r="R698" i="1"/>
  <c r="D698" i="1"/>
  <c r="Q698" i="1" s="1"/>
  <c r="W697" i="1"/>
  <c r="V697" i="1"/>
  <c r="U697" i="1"/>
  <c r="T697" i="1"/>
  <c r="S697" i="1"/>
  <c r="R697" i="1"/>
  <c r="D697" i="1"/>
  <c r="Q697" i="1" s="1"/>
  <c r="W696" i="1"/>
  <c r="U696" i="1"/>
  <c r="T696" i="1"/>
  <c r="S696" i="1"/>
  <c r="R696" i="1"/>
  <c r="D696" i="1"/>
  <c r="Q696" i="1" s="1"/>
  <c r="V696" i="1" s="1"/>
  <c r="W695" i="1"/>
  <c r="V695" i="1"/>
  <c r="U695" i="1"/>
  <c r="T695" i="1"/>
  <c r="S695" i="1"/>
  <c r="R695" i="1"/>
  <c r="D695" i="1"/>
  <c r="Q695" i="1" s="1"/>
  <c r="W694" i="1"/>
  <c r="U694" i="1"/>
  <c r="T694" i="1"/>
  <c r="S694" i="1"/>
  <c r="R694" i="1"/>
  <c r="D694" i="1"/>
  <c r="Q694" i="1" s="1"/>
  <c r="V694" i="1" s="1"/>
  <c r="W693" i="1"/>
  <c r="V693" i="1"/>
  <c r="U693" i="1"/>
  <c r="T693" i="1"/>
  <c r="S693" i="1"/>
  <c r="R693" i="1"/>
  <c r="D693" i="1"/>
  <c r="Q693" i="1" s="1"/>
  <c r="W692" i="1"/>
  <c r="U692" i="1"/>
  <c r="T692" i="1"/>
  <c r="S692" i="1"/>
  <c r="R692" i="1"/>
  <c r="D692" i="1"/>
  <c r="Q692" i="1" s="1"/>
  <c r="V692" i="1" s="1"/>
  <c r="W691" i="1"/>
  <c r="V691" i="1"/>
  <c r="U691" i="1"/>
  <c r="T691" i="1"/>
  <c r="S691" i="1"/>
  <c r="R691" i="1"/>
  <c r="D691" i="1"/>
  <c r="Q691" i="1" s="1"/>
  <c r="W690" i="1"/>
  <c r="V690" i="1"/>
  <c r="U690" i="1"/>
  <c r="T690" i="1"/>
  <c r="S690" i="1"/>
  <c r="R690" i="1"/>
  <c r="D690" i="1"/>
  <c r="Q690" i="1" s="1"/>
  <c r="W689" i="1"/>
  <c r="V689" i="1"/>
  <c r="U689" i="1"/>
  <c r="T689" i="1"/>
  <c r="S689" i="1"/>
  <c r="R689" i="1"/>
  <c r="D689" i="1"/>
  <c r="Q689" i="1" s="1"/>
  <c r="W688" i="1"/>
  <c r="U688" i="1"/>
  <c r="T688" i="1"/>
  <c r="S688" i="1"/>
  <c r="R688" i="1"/>
  <c r="D688" i="1"/>
  <c r="Q688" i="1" s="1"/>
  <c r="V688" i="1" s="1"/>
  <c r="W687" i="1"/>
  <c r="V687" i="1"/>
  <c r="U687" i="1"/>
  <c r="T687" i="1"/>
  <c r="S687" i="1"/>
  <c r="R687" i="1"/>
  <c r="D687" i="1"/>
  <c r="Q687" i="1" s="1"/>
  <c r="W686" i="1"/>
  <c r="U686" i="1"/>
  <c r="T686" i="1"/>
  <c r="S686" i="1"/>
  <c r="R686" i="1"/>
  <c r="D686" i="1"/>
  <c r="Q686" i="1" s="1"/>
  <c r="V686" i="1" s="1"/>
  <c r="W685" i="1"/>
  <c r="V685" i="1"/>
  <c r="U685" i="1"/>
  <c r="T685" i="1"/>
  <c r="S685" i="1"/>
  <c r="R685" i="1"/>
  <c r="D685" i="1"/>
  <c r="Q685" i="1" s="1"/>
  <c r="W684" i="1"/>
  <c r="U684" i="1"/>
  <c r="T684" i="1"/>
  <c r="S684" i="1"/>
  <c r="R684" i="1"/>
  <c r="D684" i="1"/>
  <c r="Q684" i="1" s="1"/>
  <c r="V684" i="1" s="1"/>
  <c r="W683" i="1"/>
  <c r="V683" i="1"/>
  <c r="U683" i="1"/>
  <c r="T683" i="1"/>
  <c r="S683" i="1"/>
  <c r="R683" i="1"/>
  <c r="D683" i="1"/>
  <c r="Q683" i="1" s="1"/>
  <c r="W682" i="1"/>
  <c r="V682" i="1"/>
  <c r="U682" i="1"/>
  <c r="T682" i="1"/>
  <c r="S682" i="1"/>
  <c r="R682" i="1"/>
  <c r="D682" i="1"/>
  <c r="Q682" i="1" s="1"/>
  <c r="W681" i="1"/>
  <c r="V681" i="1"/>
  <c r="U681" i="1"/>
  <c r="T681" i="1"/>
  <c r="S681" i="1"/>
  <c r="R681" i="1"/>
  <c r="D681" i="1"/>
  <c r="Q681" i="1" s="1"/>
  <c r="W680" i="1"/>
  <c r="U680" i="1"/>
  <c r="T680" i="1"/>
  <c r="S680" i="1"/>
  <c r="R680" i="1"/>
  <c r="D680" i="1"/>
  <c r="Q680" i="1" s="1"/>
  <c r="V680" i="1" s="1"/>
  <c r="W679" i="1"/>
  <c r="V679" i="1"/>
  <c r="U679" i="1"/>
  <c r="T679" i="1"/>
  <c r="S679" i="1"/>
  <c r="R679" i="1"/>
  <c r="D679" i="1"/>
  <c r="Q679" i="1" s="1"/>
  <c r="W678" i="1"/>
  <c r="U678" i="1"/>
  <c r="T678" i="1"/>
  <c r="S678" i="1"/>
  <c r="R678" i="1"/>
  <c r="D678" i="1"/>
  <c r="Q678" i="1" s="1"/>
  <c r="V678" i="1" s="1"/>
  <c r="W677" i="1"/>
  <c r="V677" i="1"/>
  <c r="U677" i="1"/>
  <c r="T677" i="1"/>
  <c r="S677" i="1"/>
  <c r="R677" i="1"/>
  <c r="D677" i="1"/>
  <c r="Q677" i="1" s="1"/>
  <c r="W676" i="1"/>
  <c r="U676" i="1"/>
  <c r="T676" i="1"/>
  <c r="S676" i="1"/>
  <c r="R676" i="1"/>
  <c r="D676" i="1"/>
  <c r="Q676" i="1" s="1"/>
  <c r="V676" i="1" s="1"/>
  <c r="W675" i="1"/>
  <c r="V675" i="1"/>
  <c r="U675" i="1"/>
  <c r="T675" i="1"/>
  <c r="S675" i="1"/>
  <c r="R675" i="1"/>
  <c r="D675" i="1"/>
  <c r="Q675" i="1" s="1"/>
  <c r="W674" i="1"/>
  <c r="V674" i="1"/>
  <c r="U674" i="1"/>
  <c r="T674" i="1"/>
  <c r="S674" i="1"/>
  <c r="R674" i="1"/>
  <c r="D674" i="1"/>
  <c r="Q674" i="1" s="1"/>
  <c r="W673" i="1"/>
  <c r="V673" i="1"/>
  <c r="U673" i="1"/>
  <c r="T673" i="1"/>
  <c r="S673" i="1"/>
  <c r="R673" i="1"/>
  <c r="D673" i="1"/>
  <c r="Q673" i="1" s="1"/>
  <c r="W672" i="1"/>
  <c r="U672" i="1"/>
  <c r="T672" i="1"/>
  <c r="S672" i="1"/>
  <c r="R672" i="1"/>
  <c r="D672" i="1"/>
  <c r="Q672" i="1" s="1"/>
  <c r="V672" i="1" s="1"/>
  <c r="W671" i="1"/>
  <c r="V671" i="1"/>
  <c r="U671" i="1"/>
  <c r="T671" i="1"/>
  <c r="S671" i="1"/>
  <c r="R671" i="1"/>
  <c r="D671" i="1"/>
  <c r="Q671" i="1" s="1"/>
  <c r="W670" i="1"/>
  <c r="U670" i="1"/>
  <c r="T670" i="1"/>
  <c r="S670" i="1"/>
  <c r="R670" i="1"/>
  <c r="D670" i="1"/>
  <c r="Q670" i="1" s="1"/>
  <c r="V670" i="1" s="1"/>
  <c r="W669" i="1"/>
  <c r="V669" i="1"/>
  <c r="U669" i="1"/>
  <c r="T669" i="1"/>
  <c r="S669" i="1"/>
  <c r="R669" i="1"/>
  <c r="D669" i="1"/>
  <c r="Q669" i="1" s="1"/>
  <c r="W668" i="1"/>
  <c r="U668" i="1"/>
  <c r="T668" i="1"/>
  <c r="S668" i="1"/>
  <c r="R668" i="1"/>
  <c r="D668" i="1"/>
  <c r="Q668" i="1" s="1"/>
  <c r="V668" i="1" s="1"/>
  <c r="W667" i="1"/>
  <c r="V667" i="1"/>
  <c r="U667" i="1"/>
  <c r="T667" i="1"/>
  <c r="S667" i="1"/>
  <c r="R667" i="1"/>
  <c r="D667" i="1"/>
  <c r="Q667" i="1" s="1"/>
  <c r="W666" i="1"/>
  <c r="V666" i="1"/>
  <c r="U666" i="1"/>
  <c r="T666" i="1"/>
  <c r="S666" i="1"/>
  <c r="R666" i="1"/>
  <c r="D666" i="1"/>
  <c r="Q666" i="1" s="1"/>
  <c r="W665" i="1"/>
  <c r="V665" i="1"/>
  <c r="U665" i="1"/>
  <c r="T665" i="1"/>
  <c r="S665" i="1"/>
  <c r="R665" i="1"/>
  <c r="D665" i="1"/>
  <c r="Q665" i="1" s="1"/>
  <c r="W664" i="1"/>
  <c r="U664" i="1"/>
  <c r="T664" i="1"/>
  <c r="S664" i="1"/>
  <c r="R664" i="1"/>
  <c r="D664" i="1"/>
  <c r="Q664" i="1" s="1"/>
  <c r="V664" i="1" s="1"/>
  <c r="W663" i="1"/>
  <c r="V663" i="1"/>
  <c r="U663" i="1"/>
  <c r="T663" i="1"/>
  <c r="S663" i="1"/>
  <c r="R663" i="1"/>
  <c r="D663" i="1"/>
  <c r="Q663" i="1" s="1"/>
  <c r="W662" i="1"/>
  <c r="U662" i="1"/>
  <c r="T662" i="1"/>
  <c r="S662" i="1"/>
  <c r="R662" i="1"/>
  <c r="D662" i="1"/>
  <c r="Q662" i="1" s="1"/>
  <c r="V662" i="1" s="1"/>
  <c r="W661" i="1"/>
  <c r="V661" i="1"/>
  <c r="U661" i="1"/>
  <c r="T661" i="1"/>
  <c r="S661" i="1"/>
  <c r="R661" i="1"/>
  <c r="D661" i="1"/>
  <c r="Q661" i="1" s="1"/>
  <c r="W660" i="1"/>
  <c r="U660" i="1"/>
  <c r="T660" i="1"/>
  <c r="S660" i="1"/>
  <c r="R660" i="1"/>
  <c r="D660" i="1"/>
  <c r="Q660" i="1" s="1"/>
  <c r="V660" i="1" s="1"/>
  <c r="W659" i="1"/>
  <c r="V659" i="1"/>
  <c r="U659" i="1"/>
  <c r="T659" i="1"/>
  <c r="S659" i="1"/>
  <c r="R659" i="1"/>
  <c r="D659" i="1"/>
  <c r="Q659" i="1" s="1"/>
  <c r="W658" i="1"/>
  <c r="V658" i="1"/>
  <c r="U658" i="1"/>
  <c r="T658" i="1"/>
  <c r="S658" i="1"/>
  <c r="R658" i="1"/>
  <c r="D658" i="1"/>
  <c r="Q658" i="1" s="1"/>
  <c r="W657" i="1"/>
  <c r="V657" i="1"/>
  <c r="U657" i="1"/>
  <c r="T657" i="1"/>
  <c r="S657" i="1"/>
  <c r="R657" i="1"/>
  <c r="D657" i="1"/>
  <c r="Q657" i="1" s="1"/>
  <c r="W656" i="1"/>
  <c r="U656" i="1"/>
  <c r="T656" i="1"/>
  <c r="S656" i="1"/>
  <c r="R656" i="1"/>
  <c r="D656" i="1"/>
  <c r="Q656" i="1" s="1"/>
  <c r="V656" i="1" s="1"/>
  <c r="W655" i="1"/>
  <c r="V655" i="1"/>
  <c r="U655" i="1"/>
  <c r="T655" i="1"/>
  <c r="S655" i="1"/>
  <c r="R655" i="1"/>
  <c r="D655" i="1"/>
  <c r="Q655" i="1" s="1"/>
  <c r="W654" i="1"/>
  <c r="U654" i="1"/>
  <c r="T654" i="1"/>
  <c r="S654" i="1"/>
  <c r="R654" i="1"/>
  <c r="D654" i="1"/>
  <c r="Q654" i="1" s="1"/>
  <c r="V654" i="1" s="1"/>
  <c r="W653" i="1"/>
  <c r="V653" i="1"/>
  <c r="U653" i="1"/>
  <c r="T653" i="1"/>
  <c r="S653" i="1"/>
  <c r="R653" i="1"/>
  <c r="D653" i="1"/>
  <c r="Q653" i="1" s="1"/>
  <c r="W652" i="1"/>
  <c r="U652" i="1"/>
  <c r="T652" i="1"/>
  <c r="S652" i="1"/>
  <c r="R652" i="1"/>
  <c r="D652" i="1"/>
  <c r="Q652" i="1" s="1"/>
  <c r="V652" i="1" s="1"/>
  <c r="W651" i="1"/>
  <c r="V651" i="1"/>
  <c r="U651" i="1"/>
  <c r="T651" i="1"/>
  <c r="S651" i="1"/>
  <c r="R651" i="1"/>
  <c r="D651" i="1"/>
  <c r="Q651" i="1" s="1"/>
  <c r="W650" i="1"/>
  <c r="V650" i="1"/>
  <c r="U650" i="1"/>
  <c r="T650" i="1"/>
  <c r="S650" i="1"/>
  <c r="R650" i="1"/>
  <c r="D650" i="1"/>
  <c r="Q650" i="1" s="1"/>
  <c r="W649" i="1"/>
  <c r="V649" i="1"/>
  <c r="U649" i="1"/>
  <c r="T649" i="1"/>
  <c r="S649" i="1"/>
  <c r="R649" i="1"/>
  <c r="D649" i="1"/>
  <c r="Q649" i="1" s="1"/>
  <c r="W648" i="1"/>
  <c r="U648" i="1"/>
  <c r="T648" i="1"/>
  <c r="S648" i="1"/>
  <c r="R648" i="1"/>
  <c r="D648" i="1"/>
  <c r="Q648" i="1" s="1"/>
  <c r="V648" i="1" s="1"/>
  <c r="W647" i="1"/>
  <c r="V647" i="1"/>
  <c r="U647" i="1"/>
  <c r="T647" i="1"/>
  <c r="S647" i="1"/>
  <c r="R647" i="1"/>
  <c r="D647" i="1"/>
  <c r="Q647" i="1" s="1"/>
  <c r="W646" i="1"/>
  <c r="U646" i="1"/>
  <c r="T646" i="1"/>
  <c r="S646" i="1"/>
  <c r="R646" i="1"/>
  <c r="D646" i="1"/>
  <c r="Q646" i="1" s="1"/>
  <c r="V646" i="1" s="1"/>
  <c r="W645" i="1"/>
  <c r="V645" i="1"/>
  <c r="U645" i="1"/>
  <c r="T645" i="1"/>
  <c r="S645" i="1"/>
  <c r="R645" i="1"/>
  <c r="D645" i="1"/>
  <c r="Q645" i="1" s="1"/>
  <c r="W644" i="1"/>
  <c r="U644" i="1"/>
  <c r="T644" i="1"/>
  <c r="S644" i="1"/>
  <c r="R644" i="1"/>
  <c r="D644" i="1"/>
  <c r="Q644" i="1" s="1"/>
  <c r="V644" i="1" s="1"/>
  <c r="W643" i="1"/>
  <c r="V643" i="1"/>
  <c r="U643" i="1"/>
  <c r="T643" i="1"/>
  <c r="S643" i="1"/>
  <c r="R643" i="1"/>
  <c r="D643" i="1"/>
  <c r="Q643" i="1" s="1"/>
  <c r="W642" i="1"/>
  <c r="V642" i="1"/>
  <c r="U642" i="1"/>
  <c r="T642" i="1"/>
  <c r="S642" i="1"/>
  <c r="R642" i="1"/>
  <c r="D642" i="1"/>
  <c r="Q642" i="1" s="1"/>
  <c r="W641" i="1"/>
  <c r="V641" i="1"/>
  <c r="U641" i="1"/>
  <c r="T641" i="1"/>
  <c r="S641" i="1"/>
  <c r="R641" i="1"/>
  <c r="D641" i="1"/>
  <c r="Q641" i="1" s="1"/>
  <c r="W640" i="1"/>
  <c r="U640" i="1"/>
  <c r="T640" i="1"/>
  <c r="S640" i="1"/>
  <c r="R640" i="1"/>
  <c r="D640" i="1"/>
  <c r="Q640" i="1" s="1"/>
  <c r="V640" i="1" s="1"/>
  <c r="W639" i="1"/>
  <c r="V639" i="1"/>
  <c r="U639" i="1"/>
  <c r="T639" i="1"/>
  <c r="S639" i="1"/>
  <c r="R639" i="1"/>
  <c r="D639" i="1"/>
  <c r="Q639" i="1" s="1"/>
  <c r="W638" i="1"/>
  <c r="U638" i="1"/>
  <c r="T638" i="1"/>
  <c r="S638" i="1"/>
  <c r="R638" i="1"/>
  <c r="D638" i="1"/>
  <c r="Q638" i="1" s="1"/>
  <c r="V638" i="1" s="1"/>
  <c r="W637" i="1"/>
  <c r="V637" i="1"/>
  <c r="U637" i="1"/>
  <c r="T637" i="1"/>
  <c r="S637" i="1"/>
  <c r="R637" i="1"/>
  <c r="D637" i="1"/>
  <c r="Q637" i="1" s="1"/>
  <c r="W636" i="1"/>
  <c r="U636" i="1"/>
  <c r="T636" i="1"/>
  <c r="S636" i="1"/>
  <c r="R636" i="1"/>
  <c r="D636" i="1"/>
  <c r="Q636" i="1" s="1"/>
  <c r="V636" i="1" s="1"/>
  <c r="W635" i="1"/>
  <c r="V635" i="1"/>
  <c r="U635" i="1"/>
  <c r="T635" i="1"/>
  <c r="S635" i="1"/>
  <c r="R635" i="1"/>
  <c r="D635" i="1"/>
  <c r="Q635" i="1" s="1"/>
  <c r="W634" i="1"/>
  <c r="V634" i="1"/>
  <c r="U634" i="1"/>
  <c r="T634" i="1"/>
  <c r="S634" i="1"/>
  <c r="R634" i="1"/>
  <c r="D634" i="1"/>
  <c r="Q634" i="1" s="1"/>
  <c r="W633" i="1"/>
  <c r="V633" i="1"/>
  <c r="U633" i="1"/>
  <c r="T633" i="1"/>
  <c r="S633" i="1"/>
  <c r="R633" i="1"/>
  <c r="D633" i="1"/>
  <c r="Q633" i="1" s="1"/>
  <c r="W632" i="1"/>
  <c r="U632" i="1"/>
  <c r="T632" i="1"/>
  <c r="S632" i="1"/>
  <c r="R632" i="1"/>
  <c r="D632" i="1"/>
  <c r="Q632" i="1" s="1"/>
  <c r="V632" i="1" s="1"/>
  <c r="W631" i="1"/>
  <c r="V631" i="1"/>
  <c r="U631" i="1"/>
  <c r="T631" i="1"/>
  <c r="S631" i="1"/>
  <c r="R631" i="1"/>
  <c r="D631" i="1"/>
  <c r="Q631" i="1" s="1"/>
  <c r="W630" i="1"/>
  <c r="U630" i="1"/>
  <c r="T630" i="1"/>
  <c r="S630" i="1"/>
  <c r="R630" i="1"/>
  <c r="D630" i="1"/>
  <c r="Q630" i="1" s="1"/>
  <c r="V630" i="1" s="1"/>
  <c r="W629" i="1"/>
  <c r="V629" i="1"/>
  <c r="U629" i="1"/>
  <c r="T629" i="1"/>
  <c r="S629" i="1"/>
  <c r="R629" i="1"/>
  <c r="D629" i="1"/>
  <c r="Q629" i="1" s="1"/>
  <c r="W628" i="1"/>
  <c r="U628" i="1"/>
  <c r="T628" i="1"/>
  <c r="S628" i="1"/>
  <c r="R628" i="1"/>
  <c r="D628" i="1"/>
  <c r="Q628" i="1" s="1"/>
  <c r="V628" i="1" s="1"/>
  <c r="W627" i="1"/>
  <c r="V627" i="1"/>
  <c r="U627" i="1"/>
  <c r="T627" i="1"/>
  <c r="S627" i="1"/>
  <c r="R627" i="1"/>
  <c r="D627" i="1"/>
  <c r="Q627" i="1" s="1"/>
  <c r="W626" i="1"/>
  <c r="V626" i="1"/>
  <c r="U626" i="1"/>
  <c r="T626" i="1"/>
  <c r="S626" i="1"/>
  <c r="R626" i="1"/>
  <c r="D626" i="1"/>
  <c r="Q626" i="1" s="1"/>
  <c r="W625" i="1"/>
  <c r="V625" i="1"/>
  <c r="U625" i="1"/>
  <c r="T625" i="1"/>
  <c r="S625" i="1"/>
  <c r="R625" i="1"/>
  <c r="D625" i="1"/>
  <c r="Q625" i="1" s="1"/>
  <c r="W624" i="1"/>
  <c r="U624" i="1"/>
  <c r="T624" i="1"/>
  <c r="S624" i="1"/>
  <c r="R624" i="1"/>
  <c r="D624" i="1"/>
  <c r="Q624" i="1" s="1"/>
  <c r="V624" i="1" s="1"/>
  <c r="W623" i="1"/>
  <c r="V623" i="1"/>
  <c r="U623" i="1"/>
  <c r="T623" i="1"/>
  <c r="S623" i="1"/>
  <c r="R623" i="1"/>
  <c r="D623" i="1"/>
  <c r="Q623" i="1" s="1"/>
  <c r="W622" i="1"/>
  <c r="U622" i="1"/>
  <c r="T622" i="1"/>
  <c r="S622" i="1"/>
  <c r="R622" i="1"/>
  <c r="D622" i="1"/>
  <c r="Q622" i="1" s="1"/>
  <c r="V622" i="1" s="1"/>
  <c r="W621" i="1"/>
  <c r="V621" i="1"/>
  <c r="U621" i="1"/>
  <c r="T621" i="1"/>
  <c r="S621" i="1"/>
  <c r="R621" i="1"/>
  <c r="D621" i="1"/>
  <c r="Q621" i="1" s="1"/>
  <c r="W620" i="1"/>
  <c r="U620" i="1"/>
  <c r="T620" i="1"/>
  <c r="S620" i="1"/>
  <c r="R620" i="1"/>
  <c r="D620" i="1"/>
  <c r="Q620" i="1" s="1"/>
  <c r="V620" i="1" s="1"/>
  <c r="W619" i="1"/>
  <c r="V619" i="1"/>
  <c r="U619" i="1"/>
  <c r="T619" i="1"/>
  <c r="S619" i="1"/>
  <c r="R619" i="1"/>
  <c r="D619" i="1"/>
  <c r="Q619" i="1" s="1"/>
  <c r="W618" i="1"/>
  <c r="V618" i="1"/>
  <c r="U618" i="1"/>
  <c r="T618" i="1"/>
  <c r="S618" i="1"/>
  <c r="R618" i="1"/>
  <c r="D618" i="1"/>
  <c r="Q618" i="1" s="1"/>
  <c r="W617" i="1"/>
  <c r="V617" i="1"/>
  <c r="U617" i="1"/>
  <c r="T617" i="1"/>
  <c r="S617" i="1"/>
  <c r="R617" i="1"/>
  <c r="D617" i="1"/>
  <c r="Q617" i="1" s="1"/>
  <c r="W616" i="1"/>
  <c r="U616" i="1"/>
  <c r="T616" i="1"/>
  <c r="S616" i="1"/>
  <c r="R616" i="1"/>
  <c r="D616" i="1"/>
  <c r="Q616" i="1" s="1"/>
  <c r="V616" i="1" s="1"/>
  <c r="W615" i="1"/>
  <c r="V615" i="1"/>
  <c r="U615" i="1"/>
  <c r="T615" i="1"/>
  <c r="S615" i="1"/>
  <c r="R615" i="1"/>
  <c r="D615" i="1"/>
  <c r="Q615" i="1" s="1"/>
  <c r="W614" i="1"/>
  <c r="U614" i="1"/>
  <c r="T614" i="1"/>
  <c r="S614" i="1"/>
  <c r="R614" i="1"/>
  <c r="D614" i="1"/>
  <c r="Q614" i="1" s="1"/>
  <c r="V614" i="1" s="1"/>
  <c r="W613" i="1"/>
  <c r="V613" i="1"/>
  <c r="U613" i="1"/>
  <c r="T613" i="1"/>
  <c r="S613" i="1"/>
  <c r="R613" i="1"/>
  <c r="D613" i="1"/>
  <c r="Q613" i="1" s="1"/>
  <c r="W612" i="1"/>
  <c r="U612" i="1"/>
  <c r="T612" i="1"/>
  <c r="S612" i="1"/>
  <c r="R612" i="1"/>
  <c r="D612" i="1"/>
  <c r="Q612" i="1" s="1"/>
  <c r="V612" i="1" s="1"/>
  <c r="W611" i="1"/>
  <c r="V611" i="1"/>
  <c r="U611" i="1"/>
  <c r="T611" i="1"/>
  <c r="S611" i="1"/>
  <c r="R611" i="1"/>
  <c r="D611" i="1"/>
  <c r="Q611" i="1" s="1"/>
  <c r="W610" i="1"/>
  <c r="V610" i="1"/>
  <c r="U610" i="1"/>
  <c r="T610" i="1"/>
  <c r="S610" i="1"/>
  <c r="R610" i="1"/>
  <c r="D610" i="1"/>
  <c r="Q610" i="1" s="1"/>
  <c r="W609" i="1"/>
  <c r="V609" i="1"/>
  <c r="U609" i="1"/>
  <c r="T609" i="1"/>
  <c r="S609" i="1"/>
  <c r="R609" i="1"/>
  <c r="D609" i="1"/>
  <c r="Q609" i="1" s="1"/>
  <c r="W608" i="1"/>
  <c r="U608" i="1"/>
  <c r="T608" i="1"/>
  <c r="S608" i="1"/>
  <c r="R608" i="1"/>
  <c r="D608" i="1"/>
  <c r="Q608" i="1" s="1"/>
  <c r="V608" i="1" s="1"/>
  <c r="W607" i="1"/>
  <c r="V607" i="1"/>
  <c r="U607" i="1"/>
  <c r="T607" i="1"/>
  <c r="S607" i="1"/>
  <c r="R607" i="1"/>
  <c r="D607" i="1"/>
  <c r="Q607" i="1" s="1"/>
  <c r="W606" i="1"/>
  <c r="U606" i="1"/>
  <c r="T606" i="1"/>
  <c r="S606" i="1"/>
  <c r="R606" i="1"/>
  <c r="Q606" i="1"/>
  <c r="V606" i="1" s="1"/>
  <c r="D606" i="1"/>
  <c r="W605" i="1"/>
  <c r="U605" i="1"/>
  <c r="T605" i="1"/>
  <c r="S605" i="1"/>
  <c r="R605" i="1"/>
  <c r="D605" i="1"/>
  <c r="Q605" i="1" s="1"/>
  <c r="V605" i="1" s="1"/>
  <c r="W604" i="1"/>
  <c r="V604" i="1"/>
  <c r="U604" i="1"/>
  <c r="T604" i="1"/>
  <c r="S604" i="1"/>
  <c r="R604" i="1"/>
  <c r="D604" i="1"/>
  <c r="Q604" i="1" s="1"/>
  <c r="W603" i="1"/>
  <c r="U603" i="1"/>
  <c r="T603" i="1"/>
  <c r="S603" i="1"/>
  <c r="R603" i="1"/>
  <c r="D603" i="1"/>
  <c r="Q603" i="1" s="1"/>
  <c r="V603" i="1" s="1"/>
  <c r="W602" i="1"/>
  <c r="V602" i="1"/>
  <c r="U602" i="1"/>
  <c r="T602" i="1"/>
  <c r="S602" i="1"/>
  <c r="R602" i="1"/>
  <c r="D602" i="1"/>
  <c r="Q602" i="1" s="1"/>
  <c r="W601" i="1"/>
  <c r="V601" i="1"/>
  <c r="U601" i="1"/>
  <c r="T601" i="1"/>
  <c r="S601" i="1"/>
  <c r="R601" i="1"/>
  <c r="D601" i="1"/>
  <c r="Q601" i="1" s="1"/>
  <c r="W600" i="1"/>
  <c r="V600" i="1"/>
  <c r="U600" i="1"/>
  <c r="T600" i="1"/>
  <c r="S600" i="1"/>
  <c r="R600" i="1"/>
  <c r="D600" i="1"/>
  <c r="Q600" i="1" s="1"/>
  <c r="W599" i="1"/>
  <c r="U599" i="1"/>
  <c r="T599" i="1"/>
  <c r="S599" i="1"/>
  <c r="R599" i="1"/>
  <c r="D599" i="1"/>
  <c r="Q599" i="1" s="1"/>
  <c r="V599" i="1" s="1"/>
  <c r="W598" i="1"/>
  <c r="V598" i="1"/>
  <c r="U598" i="1"/>
  <c r="T598" i="1"/>
  <c r="S598" i="1"/>
  <c r="R598" i="1"/>
  <c r="D598" i="1"/>
  <c r="Q598" i="1" s="1"/>
  <c r="W597" i="1"/>
  <c r="U597" i="1"/>
  <c r="T597" i="1"/>
  <c r="S597" i="1"/>
  <c r="R597" i="1"/>
  <c r="D597" i="1"/>
  <c r="Q597" i="1" s="1"/>
  <c r="V597" i="1" s="1"/>
  <c r="W596" i="1"/>
  <c r="V596" i="1"/>
  <c r="U596" i="1"/>
  <c r="T596" i="1"/>
  <c r="S596" i="1"/>
  <c r="R596" i="1"/>
  <c r="D596" i="1"/>
  <c r="Q596" i="1" s="1"/>
  <c r="W595" i="1"/>
  <c r="U595" i="1"/>
  <c r="T595" i="1"/>
  <c r="S595" i="1"/>
  <c r="R595" i="1"/>
  <c r="D595" i="1"/>
  <c r="Q595" i="1" s="1"/>
  <c r="V595" i="1" s="1"/>
  <c r="W594" i="1"/>
  <c r="V594" i="1"/>
  <c r="U594" i="1"/>
  <c r="T594" i="1"/>
  <c r="S594" i="1"/>
  <c r="R594" i="1"/>
  <c r="D594" i="1"/>
  <c r="Q594" i="1" s="1"/>
  <c r="W593" i="1"/>
  <c r="V593" i="1"/>
  <c r="U593" i="1"/>
  <c r="T593" i="1"/>
  <c r="S593" i="1"/>
  <c r="R593" i="1"/>
  <c r="D593" i="1"/>
  <c r="Q593" i="1" s="1"/>
  <c r="W592" i="1"/>
  <c r="V592" i="1"/>
  <c r="U592" i="1"/>
  <c r="T592" i="1"/>
  <c r="S592" i="1"/>
  <c r="R592" i="1"/>
  <c r="D592" i="1"/>
  <c r="Q592" i="1" s="1"/>
  <c r="W591" i="1"/>
  <c r="U591" i="1"/>
  <c r="T591" i="1"/>
  <c r="S591" i="1"/>
  <c r="R591" i="1"/>
  <c r="D591" i="1"/>
  <c r="Q591" i="1" s="1"/>
  <c r="V591" i="1" s="1"/>
  <c r="W590" i="1"/>
  <c r="V590" i="1"/>
  <c r="U590" i="1"/>
  <c r="T590" i="1"/>
  <c r="S590" i="1"/>
  <c r="R590" i="1"/>
  <c r="D590" i="1"/>
  <c r="Q590" i="1" s="1"/>
  <c r="W589" i="1"/>
  <c r="U589" i="1"/>
  <c r="T589" i="1"/>
  <c r="S589" i="1"/>
  <c r="R589" i="1"/>
  <c r="D589" i="1"/>
  <c r="Q589" i="1" s="1"/>
  <c r="V589" i="1" s="1"/>
  <c r="W588" i="1"/>
  <c r="U588" i="1"/>
  <c r="T588" i="1"/>
  <c r="S588" i="1"/>
  <c r="R588" i="1"/>
  <c r="D588" i="1"/>
  <c r="Q588" i="1" s="1"/>
  <c r="V588" i="1" s="1"/>
  <c r="W587" i="1"/>
  <c r="U587" i="1"/>
  <c r="T587" i="1"/>
  <c r="S587" i="1"/>
  <c r="R587" i="1"/>
  <c r="D587" i="1"/>
  <c r="Q587" i="1" s="1"/>
  <c r="V587" i="1" s="1"/>
  <c r="W586" i="1"/>
  <c r="V586" i="1"/>
  <c r="U586" i="1"/>
  <c r="T586" i="1"/>
  <c r="S586" i="1"/>
  <c r="R586" i="1"/>
  <c r="D586" i="1"/>
  <c r="Q586" i="1" s="1"/>
  <c r="W585" i="1"/>
  <c r="U585" i="1"/>
  <c r="T585" i="1"/>
  <c r="S585" i="1"/>
  <c r="R585" i="1"/>
  <c r="D585" i="1"/>
  <c r="Q585" i="1" s="1"/>
  <c r="V585" i="1" s="1"/>
  <c r="W584" i="1"/>
  <c r="V584" i="1"/>
  <c r="U584" i="1"/>
  <c r="T584" i="1"/>
  <c r="S584" i="1"/>
  <c r="R584" i="1"/>
  <c r="D584" i="1"/>
  <c r="Q584" i="1" s="1"/>
  <c r="W583" i="1"/>
  <c r="U583" i="1"/>
  <c r="T583" i="1"/>
  <c r="S583" i="1"/>
  <c r="R583" i="1"/>
  <c r="D583" i="1"/>
  <c r="Q583" i="1" s="1"/>
  <c r="V583" i="1" s="1"/>
  <c r="W582" i="1"/>
  <c r="V582" i="1"/>
  <c r="U582" i="1"/>
  <c r="T582" i="1"/>
  <c r="S582" i="1"/>
  <c r="R582" i="1"/>
  <c r="D582" i="1"/>
  <c r="Q582" i="1" s="1"/>
  <c r="W581" i="1"/>
  <c r="U581" i="1"/>
  <c r="T581" i="1"/>
  <c r="S581" i="1"/>
  <c r="R581" i="1"/>
  <c r="Q581" i="1"/>
  <c r="V581" i="1" s="1"/>
  <c r="D581" i="1"/>
  <c r="W580" i="1"/>
  <c r="U580" i="1"/>
  <c r="T580" i="1"/>
  <c r="S580" i="1"/>
  <c r="R580" i="1"/>
  <c r="D580" i="1"/>
  <c r="Q580" i="1" s="1"/>
  <c r="V580" i="1" s="1"/>
  <c r="W579" i="1"/>
  <c r="U579" i="1"/>
  <c r="T579" i="1"/>
  <c r="S579" i="1"/>
  <c r="R579" i="1"/>
  <c r="D579" i="1"/>
  <c r="Q579" i="1" s="1"/>
  <c r="V579" i="1" s="1"/>
  <c r="W578" i="1"/>
  <c r="U578" i="1"/>
  <c r="T578" i="1"/>
  <c r="S578" i="1"/>
  <c r="R578" i="1"/>
  <c r="D578" i="1"/>
  <c r="Q578" i="1" s="1"/>
  <c r="V578" i="1" s="1"/>
  <c r="W577" i="1"/>
  <c r="V577" i="1"/>
  <c r="U577" i="1"/>
  <c r="T577" i="1"/>
  <c r="S577" i="1"/>
  <c r="R577" i="1"/>
  <c r="D577" i="1"/>
  <c r="Q577" i="1" s="1"/>
  <c r="W576" i="1"/>
  <c r="U576" i="1"/>
  <c r="T576" i="1"/>
  <c r="S576" i="1"/>
  <c r="R576" i="1"/>
  <c r="D576" i="1"/>
  <c r="Q576" i="1" s="1"/>
  <c r="V576" i="1" s="1"/>
  <c r="W575" i="1"/>
  <c r="V575" i="1"/>
  <c r="U575" i="1"/>
  <c r="T575" i="1"/>
  <c r="S575" i="1"/>
  <c r="R575" i="1"/>
  <c r="D575" i="1"/>
  <c r="Q575" i="1" s="1"/>
  <c r="W574" i="1"/>
  <c r="U574" i="1"/>
  <c r="T574" i="1"/>
  <c r="S574" i="1"/>
  <c r="R574" i="1"/>
  <c r="D574" i="1"/>
  <c r="Q574" i="1" s="1"/>
  <c r="V574" i="1" s="1"/>
  <c r="W573" i="1"/>
  <c r="V573" i="1"/>
  <c r="U573" i="1"/>
  <c r="T573" i="1"/>
  <c r="S573" i="1"/>
  <c r="R573" i="1"/>
  <c r="D573" i="1"/>
  <c r="Q573" i="1" s="1"/>
  <c r="W572" i="1"/>
  <c r="U572" i="1"/>
  <c r="T572" i="1"/>
  <c r="S572" i="1"/>
  <c r="R572" i="1"/>
  <c r="Q572" i="1"/>
  <c r="V572" i="1" s="1"/>
  <c r="D572" i="1"/>
  <c r="W571" i="1"/>
  <c r="U571" i="1"/>
  <c r="T571" i="1"/>
  <c r="S571" i="1"/>
  <c r="R571" i="1"/>
  <c r="Q571" i="1"/>
  <c r="V571" i="1" s="1"/>
  <c r="D571" i="1"/>
  <c r="W570" i="1"/>
  <c r="U570" i="1"/>
  <c r="T570" i="1"/>
  <c r="S570" i="1"/>
  <c r="R570" i="1"/>
  <c r="Q570" i="1"/>
  <c r="V570" i="1" s="1"/>
  <c r="D570" i="1"/>
  <c r="W569" i="1"/>
  <c r="U569" i="1"/>
  <c r="T569" i="1"/>
  <c r="S569" i="1"/>
  <c r="R569" i="1"/>
  <c r="Q569" i="1"/>
  <c r="V569" i="1" s="1"/>
  <c r="D569" i="1"/>
  <c r="W568" i="1"/>
  <c r="U568" i="1"/>
  <c r="T568" i="1"/>
  <c r="S568" i="1"/>
  <c r="R568" i="1"/>
  <c r="Q568" i="1"/>
  <c r="V568" i="1" s="1"/>
  <c r="D568" i="1"/>
  <c r="W567" i="1"/>
  <c r="U567" i="1"/>
  <c r="T567" i="1"/>
  <c r="S567" i="1"/>
  <c r="R567" i="1"/>
  <c r="Q567" i="1"/>
  <c r="V567" i="1" s="1"/>
  <c r="D567" i="1"/>
  <c r="W566" i="1"/>
  <c r="U566" i="1"/>
  <c r="T566" i="1"/>
  <c r="S566" i="1"/>
  <c r="R566" i="1"/>
  <c r="Q566" i="1"/>
  <c r="V566" i="1" s="1"/>
  <c r="D566" i="1"/>
  <c r="W565" i="1"/>
  <c r="U565" i="1"/>
  <c r="T565" i="1"/>
  <c r="S565" i="1"/>
  <c r="R565" i="1"/>
  <c r="Q565" i="1"/>
  <c r="V565" i="1" s="1"/>
  <c r="D565" i="1"/>
  <c r="W564" i="1"/>
  <c r="U564" i="1"/>
  <c r="T564" i="1"/>
  <c r="S564" i="1"/>
  <c r="R564" i="1"/>
  <c r="Q564" i="1"/>
  <c r="V564" i="1" s="1"/>
  <c r="D564" i="1"/>
  <c r="W563" i="1"/>
  <c r="U563" i="1"/>
  <c r="T563" i="1"/>
  <c r="S563" i="1"/>
  <c r="R563" i="1"/>
  <c r="Q563" i="1"/>
  <c r="V563" i="1" s="1"/>
  <c r="D563" i="1"/>
  <c r="W562" i="1"/>
  <c r="U562" i="1"/>
  <c r="T562" i="1"/>
  <c r="S562" i="1"/>
  <c r="R562" i="1"/>
  <c r="Q562" i="1"/>
  <c r="V562" i="1" s="1"/>
  <c r="D562" i="1"/>
  <c r="W561" i="1"/>
  <c r="U561" i="1"/>
  <c r="T561" i="1"/>
  <c r="S561" i="1"/>
  <c r="R561" i="1"/>
  <c r="Q561" i="1"/>
  <c r="V561" i="1" s="1"/>
  <c r="D561" i="1"/>
  <c r="W560" i="1"/>
  <c r="U560" i="1"/>
  <c r="T560" i="1"/>
  <c r="S560" i="1"/>
  <c r="R560" i="1"/>
  <c r="Q560" i="1"/>
  <c r="V560" i="1" s="1"/>
  <c r="D560" i="1"/>
  <c r="W559" i="1"/>
  <c r="U559" i="1"/>
  <c r="T559" i="1"/>
  <c r="S559" i="1"/>
  <c r="R559" i="1"/>
  <c r="Q559" i="1"/>
  <c r="V559" i="1" s="1"/>
  <c r="D559" i="1"/>
  <c r="W558" i="1"/>
  <c r="U558" i="1"/>
  <c r="T558" i="1"/>
  <c r="S558" i="1"/>
  <c r="R558" i="1"/>
  <c r="Q558" i="1"/>
  <c r="V558" i="1" s="1"/>
  <c r="D558" i="1"/>
  <c r="W557" i="1"/>
  <c r="U557" i="1"/>
  <c r="T557" i="1"/>
  <c r="S557" i="1"/>
  <c r="R557" i="1"/>
  <c r="Q557" i="1"/>
  <c r="V557" i="1" s="1"/>
  <c r="D557" i="1"/>
  <c r="W556" i="1"/>
  <c r="U556" i="1"/>
  <c r="T556" i="1"/>
  <c r="S556" i="1"/>
  <c r="R556" i="1"/>
  <c r="Q556" i="1"/>
  <c r="V556" i="1" s="1"/>
  <c r="D556" i="1"/>
  <c r="W555" i="1"/>
  <c r="U555" i="1"/>
  <c r="T555" i="1"/>
  <c r="S555" i="1"/>
  <c r="R555" i="1"/>
  <c r="Q555" i="1"/>
  <c r="V555" i="1" s="1"/>
  <c r="D555" i="1"/>
  <c r="W554" i="1"/>
  <c r="U554" i="1"/>
  <c r="T554" i="1"/>
  <c r="S554" i="1"/>
  <c r="R554" i="1"/>
  <c r="Q554" i="1"/>
  <c r="V554" i="1" s="1"/>
  <c r="D554" i="1"/>
  <c r="W553" i="1"/>
  <c r="U553" i="1"/>
  <c r="T553" i="1"/>
  <c r="S553" i="1"/>
  <c r="R553" i="1"/>
  <c r="Q553" i="1"/>
  <c r="V553" i="1" s="1"/>
  <c r="D553" i="1"/>
  <c r="W552" i="1"/>
  <c r="U552" i="1"/>
  <c r="T552" i="1"/>
  <c r="S552" i="1"/>
  <c r="R552" i="1"/>
  <c r="Q552" i="1"/>
  <c r="V552" i="1" s="1"/>
  <c r="D552" i="1"/>
  <c r="W551" i="1"/>
  <c r="U551" i="1"/>
  <c r="T551" i="1"/>
  <c r="S551" i="1"/>
  <c r="R551" i="1"/>
  <c r="D551" i="1"/>
  <c r="Q551" i="1" s="1"/>
  <c r="V551" i="1" s="1"/>
  <c r="W550" i="1"/>
  <c r="U550" i="1"/>
  <c r="T550" i="1"/>
  <c r="S550" i="1"/>
  <c r="R550" i="1"/>
  <c r="Q550" i="1"/>
  <c r="V550" i="1" s="1"/>
  <c r="D550" i="1"/>
  <c r="W549" i="1"/>
  <c r="U549" i="1"/>
  <c r="T549" i="1"/>
  <c r="S549" i="1"/>
  <c r="R549" i="1"/>
  <c r="D549" i="1"/>
  <c r="Q549" i="1" s="1"/>
  <c r="V549" i="1" s="1"/>
  <c r="W548" i="1"/>
  <c r="U548" i="1"/>
  <c r="T548" i="1"/>
  <c r="S548" i="1"/>
  <c r="R548" i="1"/>
  <c r="Q548" i="1"/>
  <c r="V548" i="1" s="1"/>
  <c r="D548" i="1"/>
  <c r="W547" i="1"/>
  <c r="U547" i="1"/>
  <c r="T547" i="1"/>
  <c r="S547" i="1"/>
  <c r="R547" i="1"/>
  <c r="D547" i="1"/>
  <c r="Q547" i="1" s="1"/>
  <c r="V547" i="1" s="1"/>
  <c r="W546" i="1"/>
  <c r="U546" i="1"/>
  <c r="T546" i="1"/>
  <c r="S546" i="1"/>
  <c r="R546" i="1"/>
  <c r="Q546" i="1"/>
  <c r="V546" i="1" s="1"/>
  <c r="D546" i="1"/>
  <c r="W545" i="1"/>
  <c r="U545" i="1"/>
  <c r="T545" i="1"/>
  <c r="S545" i="1"/>
  <c r="R545" i="1"/>
  <c r="D545" i="1"/>
  <c r="Q545" i="1" s="1"/>
  <c r="V545" i="1" s="1"/>
  <c r="W544" i="1"/>
  <c r="U544" i="1"/>
  <c r="T544" i="1"/>
  <c r="S544" i="1"/>
  <c r="R544" i="1"/>
  <c r="Q544" i="1"/>
  <c r="V544" i="1" s="1"/>
  <c r="D544" i="1"/>
  <c r="W543" i="1"/>
  <c r="U543" i="1"/>
  <c r="T543" i="1"/>
  <c r="S543" i="1"/>
  <c r="R543" i="1"/>
  <c r="D543" i="1"/>
  <c r="Q543" i="1" s="1"/>
  <c r="V543" i="1" s="1"/>
  <c r="W542" i="1"/>
  <c r="U542" i="1"/>
  <c r="T542" i="1"/>
  <c r="S542" i="1"/>
  <c r="R542" i="1"/>
  <c r="Q542" i="1"/>
  <c r="V542" i="1" s="1"/>
  <c r="D542" i="1"/>
  <c r="W541" i="1"/>
  <c r="U541" i="1"/>
  <c r="T541" i="1"/>
  <c r="S541" i="1"/>
  <c r="R541" i="1"/>
  <c r="D541" i="1"/>
  <c r="Q541" i="1" s="1"/>
  <c r="V541" i="1" s="1"/>
  <c r="W540" i="1"/>
  <c r="U540" i="1"/>
  <c r="T540" i="1"/>
  <c r="S540" i="1"/>
  <c r="R540" i="1"/>
  <c r="Q540" i="1"/>
  <c r="V540" i="1" s="1"/>
  <c r="D540" i="1"/>
  <c r="W539" i="1"/>
  <c r="U539" i="1"/>
  <c r="T539" i="1"/>
  <c r="S539" i="1"/>
  <c r="R539" i="1"/>
  <c r="D539" i="1"/>
  <c r="Q539" i="1" s="1"/>
  <c r="V539" i="1" s="1"/>
  <c r="W538" i="1"/>
  <c r="U538" i="1"/>
  <c r="T538" i="1"/>
  <c r="S538" i="1"/>
  <c r="R538" i="1"/>
  <c r="Q538" i="1"/>
  <c r="V538" i="1" s="1"/>
  <c r="D538" i="1"/>
  <c r="W537" i="1"/>
  <c r="U537" i="1"/>
  <c r="T537" i="1"/>
  <c r="S537" i="1"/>
  <c r="R537" i="1"/>
  <c r="D537" i="1"/>
  <c r="Q537" i="1" s="1"/>
  <c r="V537" i="1" s="1"/>
  <c r="W536" i="1"/>
  <c r="U536" i="1"/>
  <c r="T536" i="1"/>
  <c r="S536" i="1"/>
  <c r="R536" i="1"/>
  <c r="Q536" i="1"/>
  <c r="V536" i="1" s="1"/>
  <c r="D536" i="1"/>
  <c r="W535" i="1"/>
  <c r="U535" i="1"/>
  <c r="T535" i="1"/>
  <c r="S535" i="1"/>
  <c r="R535" i="1"/>
  <c r="D535" i="1"/>
  <c r="Q535" i="1" s="1"/>
  <c r="V535" i="1" s="1"/>
  <c r="W534" i="1"/>
  <c r="U534" i="1"/>
  <c r="T534" i="1"/>
  <c r="S534" i="1"/>
  <c r="R534" i="1"/>
  <c r="Q534" i="1"/>
  <c r="V534" i="1" s="1"/>
  <c r="D534" i="1"/>
  <c r="W533" i="1"/>
  <c r="U533" i="1"/>
  <c r="T533" i="1"/>
  <c r="S533" i="1"/>
  <c r="R533" i="1"/>
  <c r="D533" i="1"/>
  <c r="Q533" i="1" s="1"/>
  <c r="V533" i="1" s="1"/>
  <c r="W532" i="1"/>
  <c r="U532" i="1"/>
  <c r="T532" i="1"/>
  <c r="S532" i="1"/>
  <c r="R532" i="1"/>
  <c r="Q532" i="1"/>
  <c r="V532" i="1" s="1"/>
  <c r="D532" i="1"/>
  <c r="W531" i="1"/>
  <c r="U531" i="1"/>
  <c r="T531" i="1"/>
  <c r="S531" i="1"/>
  <c r="R531" i="1"/>
  <c r="D531" i="1"/>
  <c r="Q531" i="1" s="1"/>
  <c r="V531" i="1" s="1"/>
  <c r="W530" i="1"/>
  <c r="U530" i="1"/>
  <c r="T530" i="1"/>
  <c r="S530" i="1"/>
  <c r="R530" i="1"/>
  <c r="Q530" i="1"/>
  <c r="V530" i="1" s="1"/>
  <c r="D530" i="1"/>
  <c r="W529" i="1"/>
  <c r="U529" i="1"/>
  <c r="T529" i="1"/>
  <c r="S529" i="1"/>
  <c r="R529" i="1"/>
  <c r="D529" i="1"/>
  <c r="Q529" i="1" s="1"/>
  <c r="V529" i="1" s="1"/>
  <c r="W528" i="1"/>
  <c r="U528" i="1"/>
  <c r="T528" i="1"/>
  <c r="S528" i="1"/>
  <c r="R528" i="1"/>
  <c r="Q528" i="1"/>
  <c r="V528" i="1" s="1"/>
  <c r="D528" i="1"/>
  <c r="W527" i="1"/>
  <c r="U527" i="1"/>
  <c r="T527" i="1"/>
  <c r="S527" i="1"/>
  <c r="R527" i="1"/>
  <c r="D527" i="1"/>
  <c r="Q527" i="1" s="1"/>
  <c r="V527" i="1" s="1"/>
  <c r="W526" i="1"/>
  <c r="U526" i="1"/>
  <c r="T526" i="1"/>
  <c r="S526" i="1"/>
  <c r="R526" i="1"/>
  <c r="Q526" i="1"/>
  <c r="V526" i="1" s="1"/>
  <c r="D526" i="1"/>
  <c r="W525" i="1"/>
  <c r="U525" i="1"/>
  <c r="T525" i="1"/>
  <c r="S525" i="1"/>
  <c r="R525" i="1"/>
  <c r="D525" i="1"/>
  <c r="Q525" i="1" s="1"/>
  <c r="V525" i="1" s="1"/>
  <c r="W524" i="1"/>
  <c r="U524" i="1"/>
  <c r="T524" i="1"/>
  <c r="S524" i="1"/>
  <c r="R524" i="1"/>
  <c r="Q524" i="1"/>
  <c r="V524" i="1" s="1"/>
  <c r="D524" i="1"/>
  <c r="W523" i="1"/>
  <c r="U523" i="1"/>
  <c r="T523" i="1"/>
  <c r="S523" i="1"/>
  <c r="R523" i="1"/>
  <c r="Q523" i="1"/>
  <c r="V523" i="1" s="1"/>
  <c r="D523" i="1"/>
  <c r="W522" i="1"/>
  <c r="U522" i="1"/>
  <c r="T522" i="1"/>
  <c r="S522" i="1"/>
  <c r="R522" i="1"/>
  <c r="Q522" i="1"/>
  <c r="V522" i="1" s="1"/>
  <c r="D522" i="1"/>
  <c r="W521" i="1"/>
  <c r="U521" i="1"/>
  <c r="T521" i="1"/>
  <c r="S521" i="1"/>
  <c r="R521" i="1"/>
  <c r="D521" i="1"/>
  <c r="Q521" i="1" s="1"/>
  <c r="V521" i="1" s="1"/>
  <c r="W520" i="1"/>
  <c r="U520" i="1"/>
  <c r="T520" i="1"/>
  <c r="S520" i="1"/>
  <c r="R520" i="1"/>
  <c r="Q520" i="1"/>
  <c r="V520" i="1" s="1"/>
  <c r="D520" i="1"/>
  <c r="W519" i="1"/>
  <c r="U519" i="1"/>
  <c r="T519" i="1"/>
  <c r="S519" i="1"/>
  <c r="R519" i="1"/>
  <c r="D519" i="1"/>
  <c r="Q519" i="1" s="1"/>
  <c r="V519" i="1" s="1"/>
  <c r="W518" i="1"/>
  <c r="U518" i="1"/>
  <c r="T518" i="1"/>
  <c r="S518" i="1"/>
  <c r="R518" i="1"/>
  <c r="Q518" i="1"/>
  <c r="V518" i="1" s="1"/>
  <c r="D518" i="1"/>
  <c r="W517" i="1"/>
  <c r="U517" i="1"/>
  <c r="T517" i="1"/>
  <c r="S517" i="1"/>
  <c r="R517" i="1"/>
  <c r="D517" i="1"/>
  <c r="Q517" i="1" s="1"/>
  <c r="V517" i="1" s="1"/>
  <c r="W516" i="1"/>
  <c r="U516" i="1"/>
  <c r="T516" i="1"/>
  <c r="S516" i="1"/>
  <c r="R516" i="1"/>
  <c r="Q516" i="1"/>
  <c r="V516" i="1" s="1"/>
  <c r="D516" i="1"/>
  <c r="W515" i="1"/>
  <c r="U515" i="1"/>
  <c r="T515" i="1"/>
  <c r="S515" i="1"/>
  <c r="R515" i="1"/>
  <c r="D515" i="1"/>
  <c r="Q515" i="1" s="1"/>
  <c r="V515" i="1" s="1"/>
  <c r="W514" i="1"/>
  <c r="U514" i="1"/>
  <c r="T514" i="1"/>
  <c r="S514" i="1"/>
  <c r="R514" i="1"/>
  <c r="Q514" i="1"/>
  <c r="V514" i="1" s="1"/>
  <c r="D514" i="1"/>
  <c r="W513" i="1"/>
  <c r="U513" i="1"/>
  <c r="T513" i="1"/>
  <c r="S513" i="1"/>
  <c r="R513" i="1"/>
  <c r="D513" i="1"/>
  <c r="Q513" i="1" s="1"/>
  <c r="V513" i="1" s="1"/>
  <c r="W512" i="1"/>
  <c r="U512" i="1"/>
  <c r="T512" i="1"/>
  <c r="S512" i="1"/>
  <c r="R512" i="1"/>
  <c r="Q512" i="1"/>
  <c r="V512" i="1" s="1"/>
  <c r="D512" i="1"/>
  <c r="W511" i="1"/>
  <c r="U511" i="1"/>
  <c r="T511" i="1"/>
  <c r="S511" i="1"/>
  <c r="R511" i="1"/>
  <c r="D511" i="1"/>
  <c r="Q511" i="1" s="1"/>
  <c r="V511" i="1" s="1"/>
  <c r="W510" i="1"/>
  <c r="U510" i="1"/>
  <c r="T510" i="1"/>
  <c r="S510" i="1"/>
  <c r="R510" i="1"/>
  <c r="Q510" i="1"/>
  <c r="V510" i="1" s="1"/>
  <c r="D510" i="1"/>
  <c r="W509" i="1"/>
  <c r="U509" i="1"/>
  <c r="T509" i="1"/>
  <c r="S509" i="1"/>
  <c r="R509" i="1"/>
  <c r="D509" i="1"/>
  <c r="Q509" i="1" s="1"/>
  <c r="V509" i="1" s="1"/>
  <c r="W508" i="1"/>
  <c r="U508" i="1"/>
  <c r="T508" i="1"/>
  <c r="S508" i="1"/>
  <c r="R508" i="1"/>
  <c r="Q508" i="1"/>
  <c r="V508" i="1" s="1"/>
  <c r="D508" i="1"/>
  <c r="W507" i="1"/>
  <c r="U507" i="1"/>
  <c r="T507" i="1"/>
  <c r="S507" i="1"/>
  <c r="R507" i="1"/>
  <c r="D507" i="1"/>
  <c r="Q507" i="1" s="1"/>
  <c r="V507" i="1" s="1"/>
  <c r="W506" i="1"/>
  <c r="U506" i="1"/>
  <c r="T506" i="1"/>
  <c r="S506" i="1"/>
  <c r="R506" i="1"/>
  <c r="D506" i="1"/>
  <c r="Q506" i="1" s="1"/>
  <c r="V506" i="1" s="1"/>
  <c r="W505" i="1"/>
  <c r="U505" i="1"/>
  <c r="T505" i="1"/>
  <c r="S505" i="1"/>
  <c r="R505" i="1"/>
  <c r="D505" i="1"/>
  <c r="Q505" i="1" s="1"/>
  <c r="V505" i="1" s="1"/>
  <c r="W504" i="1"/>
  <c r="U504" i="1"/>
  <c r="T504" i="1"/>
  <c r="S504" i="1"/>
  <c r="R504" i="1"/>
  <c r="Q504" i="1"/>
  <c r="V504" i="1" s="1"/>
  <c r="D504" i="1"/>
  <c r="W503" i="1"/>
  <c r="U503" i="1"/>
  <c r="T503" i="1"/>
  <c r="S503" i="1"/>
  <c r="R503" i="1"/>
  <c r="D503" i="1"/>
  <c r="Q503" i="1" s="1"/>
  <c r="V503" i="1" s="1"/>
  <c r="W502" i="1"/>
  <c r="U502" i="1"/>
  <c r="T502" i="1"/>
  <c r="S502" i="1"/>
  <c r="R502" i="1"/>
  <c r="Q502" i="1"/>
  <c r="V502" i="1" s="1"/>
  <c r="D502" i="1"/>
  <c r="W501" i="1"/>
  <c r="U501" i="1"/>
  <c r="T501" i="1"/>
  <c r="S501" i="1"/>
  <c r="R501" i="1"/>
  <c r="D501" i="1"/>
  <c r="Q501" i="1" s="1"/>
  <c r="V501" i="1" s="1"/>
  <c r="W500" i="1"/>
  <c r="U500" i="1"/>
  <c r="T500" i="1"/>
  <c r="S500" i="1"/>
  <c r="R500" i="1"/>
  <c r="Q500" i="1"/>
  <c r="V500" i="1" s="1"/>
  <c r="D500" i="1"/>
  <c r="W499" i="1"/>
  <c r="U499" i="1"/>
  <c r="T499" i="1"/>
  <c r="S499" i="1"/>
  <c r="R499" i="1"/>
  <c r="Q499" i="1"/>
  <c r="V499" i="1" s="1"/>
  <c r="D499" i="1"/>
  <c r="W498" i="1"/>
  <c r="U498" i="1"/>
  <c r="T498" i="1"/>
  <c r="S498" i="1"/>
  <c r="R498" i="1"/>
  <c r="D498" i="1"/>
  <c r="Q498" i="1" s="1"/>
  <c r="V498" i="1" s="1"/>
  <c r="W497" i="1"/>
  <c r="U497" i="1"/>
  <c r="T497" i="1"/>
  <c r="S497" i="1"/>
  <c r="R497" i="1"/>
  <c r="D497" i="1"/>
  <c r="Q497" i="1" s="1"/>
  <c r="V497" i="1" s="1"/>
  <c r="W496" i="1"/>
  <c r="U496" i="1"/>
  <c r="T496" i="1"/>
  <c r="S496" i="1"/>
  <c r="R496" i="1"/>
  <c r="Q496" i="1"/>
  <c r="V496" i="1" s="1"/>
  <c r="D496" i="1"/>
  <c r="W495" i="1"/>
  <c r="U495" i="1"/>
  <c r="T495" i="1"/>
  <c r="S495" i="1"/>
  <c r="R495" i="1"/>
  <c r="D495" i="1"/>
  <c r="Q495" i="1" s="1"/>
  <c r="V495" i="1" s="1"/>
  <c r="W494" i="1"/>
  <c r="U494" i="1"/>
  <c r="T494" i="1"/>
  <c r="S494" i="1"/>
  <c r="R494" i="1"/>
  <c r="Q494" i="1"/>
  <c r="V494" i="1" s="1"/>
  <c r="D494" i="1"/>
  <c r="W493" i="1"/>
  <c r="U493" i="1"/>
  <c r="T493" i="1"/>
  <c r="S493" i="1"/>
  <c r="R493" i="1"/>
  <c r="D493" i="1"/>
  <c r="Q493" i="1" s="1"/>
  <c r="V493" i="1" s="1"/>
  <c r="W492" i="1"/>
  <c r="U492" i="1"/>
  <c r="T492" i="1"/>
  <c r="S492" i="1"/>
  <c r="R492" i="1"/>
  <c r="Q492" i="1"/>
  <c r="V492" i="1" s="1"/>
  <c r="D492" i="1"/>
  <c r="W491" i="1"/>
  <c r="U491" i="1"/>
  <c r="T491" i="1"/>
  <c r="S491" i="1"/>
  <c r="R491" i="1"/>
  <c r="D491" i="1"/>
  <c r="Q491" i="1" s="1"/>
  <c r="V491" i="1" s="1"/>
  <c r="W490" i="1"/>
  <c r="U490" i="1"/>
  <c r="T490" i="1"/>
  <c r="S490" i="1"/>
  <c r="R490" i="1"/>
  <c r="D490" i="1"/>
  <c r="Q490" i="1" s="1"/>
  <c r="V490" i="1" s="1"/>
  <c r="W489" i="1"/>
  <c r="U489" i="1"/>
  <c r="T489" i="1"/>
  <c r="S489" i="1"/>
  <c r="R489" i="1"/>
  <c r="D489" i="1"/>
  <c r="Q489" i="1" s="1"/>
  <c r="V489" i="1" s="1"/>
  <c r="W488" i="1"/>
  <c r="U488" i="1"/>
  <c r="T488" i="1"/>
  <c r="S488" i="1"/>
  <c r="R488" i="1"/>
  <c r="Q488" i="1"/>
  <c r="V488" i="1" s="1"/>
  <c r="D488" i="1"/>
  <c r="W487" i="1"/>
  <c r="U487" i="1"/>
  <c r="T487" i="1"/>
  <c r="S487" i="1"/>
  <c r="R487" i="1"/>
  <c r="D487" i="1"/>
  <c r="Q487" i="1" s="1"/>
  <c r="V487" i="1" s="1"/>
  <c r="W486" i="1"/>
  <c r="U486" i="1"/>
  <c r="T486" i="1"/>
  <c r="S486" i="1"/>
  <c r="R486" i="1"/>
  <c r="Q486" i="1"/>
  <c r="V486" i="1" s="1"/>
  <c r="D486" i="1"/>
  <c r="W485" i="1"/>
  <c r="U485" i="1"/>
  <c r="T485" i="1"/>
  <c r="S485" i="1"/>
  <c r="R485" i="1"/>
  <c r="D485" i="1"/>
  <c r="Q485" i="1" s="1"/>
  <c r="V485" i="1" s="1"/>
  <c r="W484" i="1"/>
  <c r="U484" i="1"/>
  <c r="T484" i="1"/>
  <c r="S484" i="1"/>
  <c r="R484" i="1"/>
  <c r="Q484" i="1"/>
  <c r="V484" i="1" s="1"/>
  <c r="D484" i="1"/>
  <c r="W483" i="1"/>
  <c r="U483" i="1"/>
  <c r="T483" i="1"/>
  <c r="S483" i="1"/>
  <c r="R483" i="1"/>
  <c r="D483" i="1"/>
  <c r="Q483" i="1" s="1"/>
  <c r="V483" i="1" s="1"/>
  <c r="W482" i="1"/>
  <c r="U482" i="1"/>
  <c r="T482" i="1"/>
  <c r="S482" i="1"/>
  <c r="R482" i="1"/>
  <c r="Q482" i="1"/>
  <c r="V482" i="1" s="1"/>
  <c r="D482" i="1"/>
  <c r="W481" i="1"/>
  <c r="U481" i="1"/>
  <c r="T481" i="1"/>
  <c r="S481" i="1"/>
  <c r="R481" i="1"/>
  <c r="D481" i="1"/>
  <c r="Q481" i="1" s="1"/>
  <c r="V481" i="1" s="1"/>
  <c r="W480" i="1"/>
  <c r="U480" i="1"/>
  <c r="T480" i="1"/>
  <c r="S480" i="1"/>
  <c r="R480" i="1"/>
  <c r="Q480" i="1"/>
  <c r="V480" i="1" s="1"/>
  <c r="D480" i="1"/>
  <c r="W479" i="1"/>
  <c r="U479" i="1"/>
  <c r="T479" i="1"/>
  <c r="S479" i="1"/>
  <c r="R479" i="1"/>
  <c r="D479" i="1"/>
  <c r="Q479" i="1" s="1"/>
  <c r="V479" i="1" s="1"/>
  <c r="W478" i="1"/>
  <c r="U478" i="1"/>
  <c r="T478" i="1"/>
  <c r="S478" i="1"/>
  <c r="R478" i="1"/>
  <c r="Q478" i="1"/>
  <c r="V478" i="1" s="1"/>
  <c r="D478" i="1"/>
  <c r="W477" i="1"/>
  <c r="U477" i="1"/>
  <c r="T477" i="1"/>
  <c r="S477" i="1"/>
  <c r="R477" i="1"/>
  <c r="D477" i="1"/>
  <c r="Q477" i="1" s="1"/>
  <c r="V477" i="1" s="1"/>
  <c r="W476" i="1"/>
  <c r="U476" i="1"/>
  <c r="T476" i="1"/>
  <c r="S476" i="1"/>
  <c r="R476" i="1"/>
  <c r="Q476" i="1"/>
  <c r="V476" i="1" s="1"/>
  <c r="D476" i="1"/>
  <c r="W475" i="1"/>
  <c r="U475" i="1"/>
  <c r="T475" i="1"/>
  <c r="S475" i="1"/>
  <c r="R475" i="1"/>
  <c r="D475" i="1"/>
  <c r="Q475" i="1" s="1"/>
  <c r="V475" i="1" s="1"/>
  <c r="W474" i="1"/>
  <c r="U474" i="1"/>
  <c r="T474" i="1"/>
  <c r="S474" i="1"/>
  <c r="R474" i="1"/>
  <c r="Q474" i="1"/>
  <c r="V474" i="1" s="1"/>
  <c r="D474" i="1"/>
  <c r="W473" i="1"/>
  <c r="U473" i="1"/>
  <c r="T473" i="1"/>
  <c r="S473" i="1"/>
  <c r="R473" i="1"/>
  <c r="D473" i="1"/>
  <c r="Q473" i="1" s="1"/>
  <c r="V473" i="1" s="1"/>
  <c r="W472" i="1"/>
  <c r="U472" i="1"/>
  <c r="T472" i="1"/>
  <c r="S472" i="1"/>
  <c r="R472" i="1"/>
  <c r="Q472" i="1"/>
  <c r="V472" i="1" s="1"/>
  <c r="D472" i="1"/>
  <c r="W471" i="1"/>
  <c r="U471" i="1"/>
  <c r="T471" i="1"/>
  <c r="S471" i="1"/>
  <c r="R471" i="1"/>
  <c r="D471" i="1"/>
  <c r="Q471" i="1" s="1"/>
  <c r="V471" i="1" s="1"/>
  <c r="W470" i="1"/>
  <c r="U470" i="1"/>
  <c r="T470" i="1"/>
  <c r="S470" i="1"/>
  <c r="R470" i="1"/>
  <c r="Q470" i="1"/>
  <c r="V470" i="1" s="1"/>
  <c r="D470" i="1"/>
  <c r="W469" i="1"/>
  <c r="U469" i="1"/>
  <c r="T469" i="1"/>
  <c r="S469" i="1"/>
  <c r="R469" i="1"/>
  <c r="D469" i="1"/>
  <c r="Q469" i="1" s="1"/>
  <c r="V469" i="1" s="1"/>
  <c r="W468" i="1"/>
  <c r="U468" i="1"/>
  <c r="T468" i="1"/>
  <c r="S468" i="1"/>
  <c r="R468" i="1"/>
  <c r="Q468" i="1"/>
  <c r="V468" i="1" s="1"/>
  <c r="D468" i="1"/>
  <c r="W467" i="1"/>
  <c r="U467" i="1"/>
  <c r="T467" i="1"/>
  <c r="S467" i="1"/>
  <c r="R467" i="1"/>
  <c r="D467" i="1"/>
  <c r="Q467" i="1" s="1"/>
  <c r="V467" i="1" s="1"/>
  <c r="W466" i="1"/>
  <c r="U466" i="1"/>
  <c r="T466" i="1"/>
  <c r="S466" i="1"/>
  <c r="R466" i="1"/>
  <c r="Q466" i="1"/>
  <c r="V466" i="1" s="1"/>
  <c r="D466" i="1"/>
  <c r="W465" i="1"/>
  <c r="U465" i="1"/>
  <c r="T465" i="1"/>
  <c r="S465" i="1"/>
  <c r="R465" i="1"/>
  <c r="D465" i="1"/>
  <c r="Q465" i="1" s="1"/>
  <c r="V465" i="1" s="1"/>
  <c r="W464" i="1"/>
  <c r="U464" i="1"/>
  <c r="T464" i="1"/>
  <c r="S464" i="1"/>
  <c r="R464" i="1"/>
  <c r="Q464" i="1"/>
  <c r="V464" i="1" s="1"/>
  <c r="D464" i="1"/>
  <c r="W463" i="1"/>
  <c r="U463" i="1"/>
  <c r="T463" i="1"/>
  <c r="S463" i="1"/>
  <c r="R463" i="1"/>
  <c r="D463" i="1"/>
  <c r="Q463" i="1" s="1"/>
  <c r="V463" i="1" s="1"/>
  <c r="W462" i="1"/>
  <c r="U462" i="1"/>
  <c r="T462" i="1"/>
  <c r="S462" i="1"/>
  <c r="R462" i="1"/>
  <c r="Q462" i="1"/>
  <c r="V462" i="1" s="1"/>
  <c r="D462" i="1"/>
  <c r="W461" i="1"/>
  <c r="U461" i="1"/>
  <c r="T461" i="1"/>
  <c r="S461" i="1"/>
  <c r="R461" i="1"/>
  <c r="D461" i="1"/>
  <c r="Q461" i="1" s="1"/>
  <c r="V461" i="1" s="1"/>
  <c r="W460" i="1"/>
  <c r="U460" i="1"/>
  <c r="T460" i="1"/>
  <c r="S460" i="1"/>
  <c r="R460" i="1"/>
  <c r="Q460" i="1"/>
  <c r="V460" i="1" s="1"/>
  <c r="D460" i="1"/>
  <c r="W459" i="1"/>
  <c r="U459" i="1"/>
  <c r="T459" i="1"/>
  <c r="S459" i="1"/>
  <c r="R459" i="1"/>
  <c r="Q459" i="1"/>
  <c r="V459" i="1" s="1"/>
  <c r="D459" i="1"/>
  <c r="W458" i="1"/>
  <c r="U458" i="1"/>
  <c r="T458" i="1"/>
  <c r="S458" i="1"/>
  <c r="R458" i="1"/>
  <c r="Q458" i="1"/>
  <c r="V458" i="1" s="1"/>
  <c r="D458" i="1"/>
  <c r="W457" i="1"/>
  <c r="U457" i="1"/>
  <c r="T457" i="1"/>
  <c r="S457" i="1"/>
  <c r="R457" i="1"/>
  <c r="D457" i="1"/>
  <c r="Q457" i="1" s="1"/>
  <c r="V457" i="1" s="1"/>
  <c r="W456" i="1"/>
  <c r="U456" i="1"/>
  <c r="T456" i="1"/>
  <c r="S456" i="1"/>
  <c r="R456" i="1"/>
  <c r="Q456" i="1"/>
  <c r="V456" i="1" s="1"/>
  <c r="D456" i="1"/>
  <c r="W455" i="1"/>
  <c r="U455" i="1"/>
  <c r="T455" i="1"/>
  <c r="S455" i="1"/>
  <c r="R455" i="1"/>
  <c r="D455" i="1"/>
  <c r="Q455" i="1" s="1"/>
  <c r="V455" i="1" s="1"/>
  <c r="W454" i="1"/>
  <c r="U454" i="1"/>
  <c r="T454" i="1"/>
  <c r="S454" i="1"/>
  <c r="R454" i="1"/>
  <c r="Q454" i="1"/>
  <c r="V454" i="1" s="1"/>
  <c r="D454" i="1"/>
  <c r="W453" i="1"/>
  <c r="U453" i="1"/>
  <c r="T453" i="1"/>
  <c r="S453" i="1"/>
  <c r="R453" i="1"/>
  <c r="D453" i="1"/>
  <c r="Q453" i="1" s="1"/>
  <c r="V453" i="1" s="1"/>
  <c r="W452" i="1"/>
  <c r="U452" i="1"/>
  <c r="T452" i="1"/>
  <c r="S452" i="1"/>
  <c r="R452" i="1"/>
  <c r="Q452" i="1"/>
  <c r="V452" i="1" s="1"/>
  <c r="D452" i="1"/>
  <c r="W451" i="1"/>
  <c r="U451" i="1"/>
  <c r="T451" i="1"/>
  <c r="S451" i="1"/>
  <c r="R451" i="1"/>
  <c r="D451" i="1"/>
  <c r="Q451" i="1" s="1"/>
  <c r="V451" i="1" s="1"/>
  <c r="W450" i="1"/>
  <c r="U450" i="1"/>
  <c r="T450" i="1"/>
  <c r="S450" i="1"/>
  <c r="R450" i="1"/>
  <c r="Q450" i="1"/>
  <c r="V450" i="1" s="1"/>
  <c r="D450" i="1"/>
  <c r="W449" i="1"/>
  <c r="U449" i="1"/>
  <c r="T449" i="1"/>
  <c r="S449" i="1"/>
  <c r="R449" i="1"/>
  <c r="D449" i="1"/>
  <c r="Q449" i="1" s="1"/>
  <c r="V449" i="1" s="1"/>
  <c r="W448" i="1"/>
  <c r="U448" i="1"/>
  <c r="T448" i="1"/>
  <c r="S448" i="1"/>
  <c r="R448" i="1"/>
  <c r="Q448" i="1"/>
  <c r="V448" i="1" s="1"/>
  <c r="D448" i="1"/>
  <c r="W447" i="1"/>
  <c r="U447" i="1"/>
  <c r="T447" i="1"/>
  <c r="S447" i="1"/>
  <c r="R447" i="1"/>
  <c r="D447" i="1"/>
  <c r="Q447" i="1" s="1"/>
  <c r="V447" i="1" s="1"/>
  <c r="W446" i="1"/>
  <c r="U446" i="1"/>
  <c r="T446" i="1"/>
  <c r="S446" i="1"/>
  <c r="R446" i="1"/>
  <c r="Q446" i="1"/>
  <c r="V446" i="1" s="1"/>
  <c r="D446" i="1"/>
  <c r="W445" i="1"/>
  <c r="U445" i="1"/>
  <c r="T445" i="1"/>
  <c r="S445" i="1"/>
  <c r="R445" i="1"/>
  <c r="D445" i="1"/>
  <c r="Q445" i="1" s="1"/>
  <c r="V445" i="1" s="1"/>
  <c r="W444" i="1"/>
  <c r="U444" i="1"/>
  <c r="T444" i="1"/>
  <c r="S444" i="1"/>
  <c r="R444" i="1"/>
  <c r="Q444" i="1"/>
  <c r="V444" i="1" s="1"/>
  <c r="D444" i="1"/>
  <c r="W443" i="1"/>
  <c r="U443" i="1"/>
  <c r="T443" i="1"/>
  <c r="S443" i="1"/>
  <c r="R443" i="1"/>
  <c r="D443" i="1"/>
  <c r="Q443" i="1" s="1"/>
  <c r="V443" i="1" s="1"/>
  <c r="W442" i="1"/>
  <c r="U442" i="1"/>
  <c r="T442" i="1"/>
  <c r="S442" i="1"/>
  <c r="R442" i="1"/>
  <c r="D442" i="1"/>
  <c r="Q442" i="1" s="1"/>
  <c r="V442" i="1" s="1"/>
  <c r="W441" i="1"/>
  <c r="U441" i="1"/>
  <c r="T441" i="1"/>
  <c r="S441" i="1"/>
  <c r="R441" i="1"/>
  <c r="D441" i="1"/>
  <c r="Q441" i="1" s="1"/>
  <c r="V441" i="1" s="1"/>
  <c r="W440" i="1"/>
  <c r="U440" i="1"/>
  <c r="T440" i="1"/>
  <c r="S440" i="1"/>
  <c r="R440" i="1"/>
  <c r="Q440" i="1"/>
  <c r="V440" i="1" s="1"/>
  <c r="D440" i="1"/>
  <c r="W439" i="1"/>
  <c r="U439" i="1"/>
  <c r="T439" i="1"/>
  <c r="S439" i="1"/>
  <c r="R439" i="1"/>
  <c r="D439" i="1"/>
  <c r="Q439" i="1" s="1"/>
  <c r="V439" i="1" s="1"/>
  <c r="W438" i="1"/>
  <c r="U438" i="1"/>
  <c r="T438" i="1"/>
  <c r="S438" i="1"/>
  <c r="R438" i="1"/>
  <c r="Q438" i="1"/>
  <c r="V438" i="1" s="1"/>
  <c r="D438" i="1"/>
  <c r="W437" i="1"/>
  <c r="U437" i="1"/>
  <c r="T437" i="1"/>
  <c r="S437" i="1"/>
  <c r="R437" i="1"/>
  <c r="D437" i="1"/>
  <c r="Q437" i="1" s="1"/>
  <c r="V437" i="1" s="1"/>
  <c r="W436" i="1"/>
  <c r="U436" i="1"/>
  <c r="T436" i="1"/>
  <c r="S436" i="1"/>
  <c r="R436" i="1"/>
  <c r="Q436" i="1"/>
  <c r="V436" i="1" s="1"/>
  <c r="D436" i="1"/>
  <c r="W435" i="1"/>
  <c r="U435" i="1"/>
  <c r="T435" i="1"/>
  <c r="S435" i="1"/>
  <c r="R435" i="1"/>
  <c r="Q435" i="1"/>
  <c r="V435" i="1" s="1"/>
  <c r="D435" i="1"/>
  <c r="W434" i="1"/>
  <c r="U434" i="1"/>
  <c r="T434" i="1"/>
  <c r="S434" i="1"/>
  <c r="R434" i="1"/>
  <c r="Q434" i="1"/>
  <c r="V434" i="1" s="1"/>
  <c r="D434" i="1"/>
  <c r="W433" i="1"/>
  <c r="U433" i="1"/>
  <c r="T433" i="1"/>
  <c r="S433" i="1"/>
  <c r="R433" i="1"/>
  <c r="Q433" i="1"/>
  <c r="V433" i="1" s="1"/>
  <c r="D433" i="1"/>
  <c r="W432" i="1"/>
  <c r="U432" i="1"/>
  <c r="T432" i="1"/>
  <c r="S432" i="1"/>
  <c r="R432" i="1"/>
  <c r="Q432" i="1"/>
  <c r="V432" i="1" s="1"/>
  <c r="D432" i="1"/>
  <c r="W431" i="1"/>
  <c r="U431" i="1"/>
  <c r="T431" i="1"/>
  <c r="S431" i="1"/>
  <c r="R431" i="1"/>
  <c r="Q431" i="1"/>
  <c r="V431" i="1" s="1"/>
  <c r="D431" i="1"/>
  <c r="W430" i="1"/>
  <c r="U430" i="1"/>
  <c r="T430" i="1"/>
  <c r="S430" i="1"/>
  <c r="R430" i="1"/>
  <c r="Q430" i="1"/>
  <c r="V430" i="1" s="1"/>
  <c r="D430" i="1"/>
  <c r="W429" i="1"/>
  <c r="U429" i="1"/>
  <c r="T429" i="1"/>
  <c r="S429" i="1"/>
  <c r="R429" i="1"/>
  <c r="Q429" i="1"/>
  <c r="V429" i="1" s="1"/>
  <c r="D429" i="1"/>
  <c r="W428" i="1"/>
  <c r="U428" i="1"/>
  <c r="T428" i="1"/>
  <c r="S428" i="1"/>
  <c r="R428" i="1"/>
  <c r="Q428" i="1"/>
  <c r="V428" i="1" s="1"/>
  <c r="D428" i="1"/>
  <c r="W427" i="1"/>
  <c r="U427" i="1"/>
  <c r="T427" i="1"/>
  <c r="S427" i="1"/>
  <c r="R427" i="1"/>
  <c r="Q427" i="1"/>
  <c r="V427" i="1" s="1"/>
  <c r="D427" i="1"/>
  <c r="W426" i="1"/>
  <c r="U426" i="1"/>
  <c r="T426" i="1"/>
  <c r="S426" i="1"/>
  <c r="R426" i="1"/>
  <c r="Q426" i="1"/>
  <c r="V426" i="1" s="1"/>
  <c r="D426" i="1"/>
  <c r="W425" i="1"/>
  <c r="U425" i="1"/>
  <c r="T425" i="1"/>
  <c r="S425" i="1"/>
  <c r="R425" i="1"/>
  <c r="Q425" i="1"/>
  <c r="V425" i="1" s="1"/>
  <c r="D425" i="1"/>
  <c r="W424" i="1"/>
  <c r="U424" i="1"/>
  <c r="T424" i="1"/>
  <c r="S424" i="1"/>
  <c r="R424" i="1"/>
  <c r="Q424" i="1"/>
  <c r="V424" i="1" s="1"/>
  <c r="D424" i="1"/>
  <c r="W423" i="1"/>
  <c r="U423" i="1"/>
  <c r="T423" i="1"/>
  <c r="S423" i="1"/>
  <c r="R423" i="1"/>
  <c r="Q423" i="1"/>
  <c r="V423" i="1" s="1"/>
  <c r="D423" i="1"/>
  <c r="W422" i="1"/>
  <c r="U422" i="1"/>
  <c r="T422" i="1"/>
  <c r="S422" i="1"/>
  <c r="R422" i="1"/>
  <c r="Q422" i="1"/>
  <c r="V422" i="1" s="1"/>
  <c r="D422" i="1"/>
  <c r="W421" i="1"/>
  <c r="U421" i="1"/>
  <c r="T421" i="1"/>
  <c r="S421" i="1"/>
  <c r="R421" i="1"/>
  <c r="D421" i="1"/>
  <c r="Q421" i="1" s="1"/>
  <c r="V421" i="1" s="1"/>
  <c r="W420" i="1"/>
  <c r="U420" i="1"/>
  <c r="T420" i="1"/>
  <c r="S420" i="1"/>
  <c r="R420" i="1"/>
  <c r="Q420" i="1"/>
  <c r="V420" i="1" s="1"/>
  <c r="D420" i="1"/>
  <c r="W419" i="1"/>
  <c r="U419" i="1"/>
  <c r="T419" i="1"/>
  <c r="S419" i="1"/>
  <c r="R419" i="1"/>
  <c r="Q419" i="1"/>
  <c r="V419" i="1" s="1"/>
  <c r="D419" i="1"/>
  <c r="W418" i="1"/>
  <c r="U418" i="1"/>
  <c r="T418" i="1"/>
  <c r="S418" i="1"/>
  <c r="R418" i="1"/>
  <c r="D418" i="1"/>
  <c r="Q418" i="1" s="1"/>
  <c r="V418" i="1" s="1"/>
  <c r="W417" i="1"/>
  <c r="U417" i="1"/>
  <c r="T417" i="1"/>
  <c r="S417" i="1"/>
  <c r="R417" i="1"/>
  <c r="D417" i="1"/>
  <c r="Q417" i="1" s="1"/>
  <c r="V417" i="1" s="1"/>
  <c r="W416" i="1"/>
  <c r="U416" i="1"/>
  <c r="T416" i="1"/>
  <c r="S416" i="1"/>
  <c r="R416" i="1"/>
  <c r="D416" i="1"/>
  <c r="Q416" i="1" s="1"/>
  <c r="V416" i="1" s="1"/>
  <c r="W415" i="1"/>
  <c r="U415" i="1"/>
  <c r="T415" i="1"/>
  <c r="S415" i="1"/>
  <c r="R415" i="1"/>
  <c r="D415" i="1"/>
  <c r="Q415" i="1" s="1"/>
  <c r="V415" i="1" s="1"/>
  <c r="W414" i="1"/>
  <c r="U414" i="1"/>
  <c r="T414" i="1"/>
  <c r="S414" i="1"/>
  <c r="R414" i="1"/>
  <c r="D414" i="1"/>
  <c r="Q414" i="1" s="1"/>
  <c r="V414" i="1" s="1"/>
  <c r="W413" i="1"/>
  <c r="U413" i="1"/>
  <c r="T413" i="1"/>
  <c r="S413" i="1"/>
  <c r="R413" i="1"/>
  <c r="D413" i="1"/>
  <c r="Q413" i="1" s="1"/>
  <c r="V413" i="1" s="1"/>
  <c r="W412" i="1"/>
  <c r="U412" i="1"/>
  <c r="T412" i="1"/>
  <c r="S412" i="1"/>
  <c r="R412" i="1"/>
  <c r="Q412" i="1"/>
  <c r="V412" i="1" s="1"/>
  <c r="D412" i="1"/>
  <c r="W411" i="1"/>
  <c r="U411" i="1"/>
  <c r="T411" i="1"/>
  <c r="S411" i="1"/>
  <c r="R411" i="1"/>
  <c r="Q411" i="1"/>
  <c r="V411" i="1" s="1"/>
  <c r="D411" i="1"/>
  <c r="W410" i="1"/>
  <c r="U410" i="1"/>
  <c r="T410" i="1"/>
  <c r="S410" i="1"/>
  <c r="R410" i="1"/>
  <c r="D410" i="1"/>
  <c r="Q410" i="1" s="1"/>
  <c r="V410" i="1" s="1"/>
  <c r="W409" i="1"/>
  <c r="U409" i="1"/>
  <c r="T409" i="1"/>
  <c r="S409" i="1"/>
  <c r="R409" i="1"/>
  <c r="D409" i="1"/>
  <c r="Q409" i="1" s="1"/>
  <c r="V409" i="1" s="1"/>
  <c r="W408" i="1"/>
  <c r="U408" i="1"/>
  <c r="T408" i="1"/>
  <c r="S408" i="1"/>
  <c r="R408" i="1"/>
  <c r="D408" i="1"/>
  <c r="Q408" i="1" s="1"/>
  <c r="V408" i="1" s="1"/>
  <c r="W407" i="1"/>
  <c r="U407" i="1"/>
  <c r="T407" i="1"/>
  <c r="S407" i="1"/>
  <c r="R407" i="1"/>
  <c r="D407" i="1"/>
  <c r="Q407" i="1" s="1"/>
  <c r="V407" i="1" s="1"/>
  <c r="W406" i="1"/>
  <c r="U406" i="1"/>
  <c r="T406" i="1"/>
  <c r="S406" i="1"/>
  <c r="R406" i="1"/>
  <c r="D406" i="1"/>
  <c r="Q406" i="1" s="1"/>
  <c r="V406" i="1" s="1"/>
  <c r="W405" i="1"/>
  <c r="U405" i="1"/>
  <c r="T405" i="1"/>
  <c r="S405" i="1"/>
  <c r="R405" i="1"/>
  <c r="D405" i="1"/>
  <c r="Q405" i="1" s="1"/>
  <c r="V405" i="1" s="1"/>
  <c r="W404" i="1"/>
  <c r="U404" i="1"/>
  <c r="T404" i="1"/>
  <c r="S404" i="1"/>
  <c r="R404" i="1"/>
  <c r="Q404" i="1"/>
  <c r="V404" i="1" s="1"/>
  <c r="D404" i="1"/>
  <c r="W403" i="1"/>
  <c r="U403" i="1"/>
  <c r="T403" i="1"/>
  <c r="S403" i="1"/>
  <c r="R403" i="1"/>
  <c r="Q403" i="1"/>
  <c r="V403" i="1" s="1"/>
  <c r="D403" i="1"/>
  <c r="W402" i="1"/>
  <c r="U402" i="1"/>
  <c r="T402" i="1"/>
  <c r="S402" i="1"/>
  <c r="R402" i="1"/>
  <c r="D402" i="1"/>
  <c r="Q402" i="1" s="1"/>
  <c r="V402" i="1" s="1"/>
  <c r="W401" i="1"/>
  <c r="U401" i="1"/>
  <c r="T401" i="1"/>
  <c r="S401" i="1"/>
  <c r="R401" i="1"/>
  <c r="D401" i="1"/>
  <c r="Q401" i="1" s="1"/>
  <c r="V401" i="1" s="1"/>
  <c r="W400" i="1"/>
  <c r="U400" i="1"/>
  <c r="T400" i="1"/>
  <c r="S400" i="1"/>
  <c r="R400" i="1"/>
  <c r="D400" i="1"/>
  <c r="Q400" i="1" s="1"/>
  <c r="V400" i="1" s="1"/>
  <c r="W399" i="1"/>
  <c r="U399" i="1"/>
  <c r="T399" i="1"/>
  <c r="S399" i="1"/>
  <c r="R399" i="1"/>
  <c r="D399" i="1"/>
  <c r="Q399" i="1" s="1"/>
  <c r="V399" i="1" s="1"/>
  <c r="W398" i="1"/>
  <c r="U398" i="1"/>
  <c r="T398" i="1"/>
  <c r="S398" i="1"/>
  <c r="R398" i="1"/>
  <c r="D398" i="1"/>
  <c r="Q398" i="1" s="1"/>
  <c r="V398" i="1" s="1"/>
  <c r="W397" i="1"/>
  <c r="U397" i="1"/>
  <c r="T397" i="1"/>
  <c r="S397" i="1"/>
  <c r="R397" i="1"/>
  <c r="D397" i="1"/>
  <c r="Q397" i="1" s="1"/>
  <c r="V397" i="1" s="1"/>
  <c r="W396" i="1"/>
  <c r="U396" i="1"/>
  <c r="T396" i="1"/>
  <c r="S396" i="1"/>
  <c r="R396" i="1"/>
  <c r="Q396" i="1"/>
  <c r="V396" i="1" s="1"/>
  <c r="D396" i="1"/>
  <c r="W395" i="1"/>
  <c r="U395" i="1"/>
  <c r="T395" i="1"/>
  <c r="S395" i="1"/>
  <c r="R395" i="1"/>
  <c r="Q395" i="1"/>
  <c r="V395" i="1" s="1"/>
  <c r="D395" i="1"/>
  <c r="W394" i="1"/>
  <c r="U394" i="1"/>
  <c r="T394" i="1"/>
  <c r="S394" i="1"/>
  <c r="R394" i="1"/>
  <c r="D394" i="1"/>
  <c r="Q394" i="1" s="1"/>
  <c r="V394" i="1" s="1"/>
  <c r="W393" i="1"/>
  <c r="U393" i="1"/>
  <c r="T393" i="1"/>
  <c r="S393" i="1"/>
  <c r="R393" i="1"/>
  <c r="D393" i="1"/>
  <c r="Q393" i="1" s="1"/>
  <c r="V393" i="1" s="1"/>
  <c r="W392" i="1"/>
  <c r="U392" i="1"/>
  <c r="T392" i="1"/>
  <c r="S392" i="1"/>
  <c r="R392" i="1"/>
  <c r="D392" i="1"/>
  <c r="Q392" i="1" s="1"/>
  <c r="V392" i="1" s="1"/>
  <c r="W391" i="1"/>
  <c r="U391" i="1"/>
  <c r="T391" i="1"/>
  <c r="S391" i="1"/>
  <c r="R391" i="1"/>
  <c r="D391" i="1"/>
  <c r="Q391" i="1" s="1"/>
  <c r="V391" i="1" s="1"/>
  <c r="W390" i="1"/>
  <c r="U390" i="1"/>
  <c r="T390" i="1"/>
  <c r="S390" i="1"/>
  <c r="R390" i="1"/>
  <c r="D390" i="1"/>
  <c r="Q390" i="1" s="1"/>
  <c r="V390" i="1" s="1"/>
  <c r="W389" i="1"/>
  <c r="U389" i="1"/>
  <c r="T389" i="1"/>
  <c r="S389" i="1"/>
  <c r="R389" i="1"/>
  <c r="D389" i="1"/>
  <c r="Q389" i="1" s="1"/>
  <c r="V389" i="1" s="1"/>
  <c r="W388" i="1"/>
  <c r="U388" i="1"/>
  <c r="T388" i="1"/>
  <c r="S388" i="1"/>
  <c r="R388" i="1"/>
  <c r="Q388" i="1"/>
  <c r="V388" i="1" s="1"/>
  <c r="D388" i="1"/>
  <c r="W387" i="1"/>
  <c r="U387" i="1"/>
  <c r="T387" i="1"/>
  <c r="S387" i="1"/>
  <c r="R387" i="1"/>
  <c r="Q387" i="1"/>
  <c r="V387" i="1" s="1"/>
  <c r="D387" i="1"/>
  <c r="W386" i="1"/>
  <c r="U386" i="1"/>
  <c r="T386" i="1"/>
  <c r="S386" i="1"/>
  <c r="R386" i="1"/>
  <c r="D386" i="1"/>
  <c r="Q386" i="1" s="1"/>
  <c r="V386" i="1" s="1"/>
  <c r="W385" i="1"/>
  <c r="U385" i="1"/>
  <c r="T385" i="1"/>
  <c r="S385" i="1"/>
  <c r="R385" i="1"/>
  <c r="D385" i="1"/>
  <c r="Q385" i="1" s="1"/>
  <c r="V385" i="1" s="1"/>
  <c r="W384" i="1"/>
  <c r="U384" i="1"/>
  <c r="T384" i="1"/>
  <c r="S384" i="1"/>
  <c r="R384" i="1"/>
  <c r="D384" i="1"/>
  <c r="Q384" i="1" s="1"/>
  <c r="V384" i="1" s="1"/>
  <c r="W383" i="1"/>
  <c r="U383" i="1"/>
  <c r="T383" i="1"/>
  <c r="S383" i="1"/>
  <c r="R383" i="1"/>
  <c r="D383" i="1"/>
  <c r="Q383" i="1" s="1"/>
  <c r="V383" i="1" s="1"/>
  <c r="W382" i="1"/>
  <c r="U382" i="1"/>
  <c r="T382" i="1"/>
  <c r="S382" i="1"/>
  <c r="R382" i="1"/>
  <c r="D382" i="1"/>
  <c r="Q382" i="1" s="1"/>
  <c r="V382" i="1" s="1"/>
  <c r="W381" i="1"/>
  <c r="U381" i="1"/>
  <c r="T381" i="1"/>
  <c r="S381" i="1"/>
  <c r="R381" i="1"/>
  <c r="D381" i="1"/>
  <c r="Q381" i="1" s="1"/>
  <c r="V381" i="1" s="1"/>
  <c r="W380" i="1"/>
  <c r="U380" i="1"/>
  <c r="T380" i="1"/>
  <c r="S380" i="1"/>
  <c r="R380" i="1"/>
  <c r="Q380" i="1"/>
  <c r="V380" i="1" s="1"/>
  <c r="D380" i="1"/>
  <c r="W379" i="1"/>
  <c r="U379" i="1"/>
  <c r="T379" i="1"/>
  <c r="S379" i="1"/>
  <c r="R379" i="1"/>
  <c r="Q379" i="1"/>
  <c r="V379" i="1" s="1"/>
  <c r="D379" i="1"/>
  <c r="W378" i="1"/>
  <c r="U378" i="1"/>
  <c r="T378" i="1"/>
  <c r="S378" i="1"/>
  <c r="R378" i="1"/>
  <c r="D378" i="1"/>
  <c r="Q378" i="1" s="1"/>
  <c r="V378" i="1" s="1"/>
  <c r="W377" i="1"/>
  <c r="U377" i="1"/>
  <c r="T377" i="1"/>
  <c r="S377" i="1"/>
  <c r="R377" i="1"/>
  <c r="D377" i="1"/>
  <c r="Q377" i="1" s="1"/>
  <c r="V377" i="1" s="1"/>
  <c r="W376" i="1"/>
  <c r="U376" i="1"/>
  <c r="T376" i="1"/>
  <c r="S376" i="1"/>
  <c r="R376" i="1"/>
  <c r="D376" i="1"/>
  <c r="Q376" i="1" s="1"/>
  <c r="V376" i="1" s="1"/>
  <c r="W375" i="1"/>
  <c r="U375" i="1"/>
  <c r="T375" i="1"/>
  <c r="S375" i="1"/>
  <c r="R375" i="1"/>
  <c r="D375" i="1"/>
  <c r="Q375" i="1" s="1"/>
  <c r="V375" i="1" s="1"/>
  <c r="W374" i="1"/>
  <c r="U374" i="1"/>
  <c r="T374" i="1"/>
  <c r="S374" i="1"/>
  <c r="R374" i="1"/>
  <c r="D374" i="1"/>
  <c r="Q374" i="1" s="1"/>
  <c r="V374" i="1" s="1"/>
  <c r="W373" i="1"/>
  <c r="U373" i="1"/>
  <c r="T373" i="1"/>
  <c r="S373" i="1"/>
  <c r="R373" i="1"/>
  <c r="D373" i="1"/>
  <c r="Q373" i="1" s="1"/>
  <c r="V373" i="1" s="1"/>
  <c r="W372" i="1"/>
  <c r="U372" i="1"/>
  <c r="T372" i="1"/>
  <c r="S372" i="1"/>
  <c r="R372" i="1"/>
  <c r="Q372" i="1"/>
  <c r="V372" i="1" s="1"/>
  <c r="D372" i="1"/>
  <c r="W371" i="1"/>
  <c r="U371" i="1"/>
  <c r="T371" i="1"/>
  <c r="S371" i="1"/>
  <c r="R371" i="1"/>
  <c r="Q371" i="1"/>
  <c r="V371" i="1" s="1"/>
  <c r="D371" i="1"/>
  <c r="W370" i="1"/>
  <c r="U370" i="1"/>
  <c r="T370" i="1"/>
  <c r="S370" i="1"/>
  <c r="R370" i="1"/>
  <c r="D370" i="1"/>
  <c r="Q370" i="1" s="1"/>
  <c r="V370" i="1" s="1"/>
  <c r="W369" i="1"/>
  <c r="U369" i="1"/>
  <c r="T369" i="1"/>
  <c r="S369" i="1"/>
  <c r="R369" i="1"/>
  <c r="D369" i="1"/>
  <c r="Q369" i="1" s="1"/>
  <c r="V369" i="1" s="1"/>
  <c r="W368" i="1"/>
  <c r="U368" i="1"/>
  <c r="T368" i="1"/>
  <c r="S368" i="1"/>
  <c r="R368" i="1"/>
  <c r="D368" i="1"/>
  <c r="Q368" i="1" s="1"/>
  <c r="V368" i="1" s="1"/>
  <c r="W367" i="1"/>
  <c r="U367" i="1"/>
  <c r="T367" i="1"/>
  <c r="S367" i="1"/>
  <c r="R367" i="1"/>
  <c r="D367" i="1"/>
  <c r="Q367" i="1" s="1"/>
  <c r="V367" i="1" s="1"/>
  <c r="W366" i="1"/>
  <c r="U366" i="1"/>
  <c r="T366" i="1"/>
  <c r="S366" i="1"/>
  <c r="R366" i="1"/>
  <c r="D366" i="1"/>
  <c r="Q366" i="1" s="1"/>
  <c r="V366" i="1" s="1"/>
  <c r="W365" i="1"/>
  <c r="U365" i="1"/>
  <c r="T365" i="1"/>
  <c r="S365" i="1"/>
  <c r="R365" i="1"/>
  <c r="D365" i="1"/>
  <c r="Q365" i="1" s="1"/>
  <c r="V365" i="1" s="1"/>
  <c r="W364" i="1"/>
  <c r="U364" i="1"/>
  <c r="T364" i="1"/>
  <c r="S364" i="1"/>
  <c r="R364" i="1"/>
  <c r="Q364" i="1"/>
  <c r="V364" i="1" s="1"/>
  <c r="D364" i="1"/>
  <c r="W363" i="1"/>
  <c r="U363" i="1"/>
  <c r="T363" i="1"/>
  <c r="S363" i="1"/>
  <c r="R363" i="1"/>
  <c r="Q363" i="1"/>
  <c r="V363" i="1" s="1"/>
  <c r="D363" i="1"/>
  <c r="W362" i="1"/>
  <c r="U362" i="1"/>
  <c r="T362" i="1"/>
  <c r="S362" i="1"/>
  <c r="R362" i="1"/>
  <c r="D362" i="1"/>
  <c r="Q362" i="1" s="1"/>
  <c r="V362" i="1" s="1"/>
  <c r="W361" i="1"/>
  <c r="U361" i="1"/>
  <c r="T361" i="1"/>
  <c r="S361" i="1"/>
  <c r="R361" i="1"/>
  <c r="D361" i="1"/>
  <c r="Q361" i="1" s="1"/>
  <c r="V361" i="1" s="1"/>
  <c r="W360" i="1"/>
  <c r="U360" i="1"/>
  <c r="T360" i="1"/>
  <c r="S360" i="1"/>
  <c r="R360" i="1"/>
  <c r="D360" i="1"/>
  <c r="Q360" i="1" s="1"/>
  <c r="V360" i="1" s="1"/>
  <c r="W359" i="1"/>
  <c r="U359" i="1"/>
  <c r="T359" i="1"/>
  <c r="S359" i="1"/>
  <c r="R359" i="1"/>
  <c r="D359" i="1"/>
  <c r="Q359" i="1" s="1"/>
  <c r="V359" i="1" s="1"/>
  <c r="W358" i="1"/>
  <c r="U358" i="1"/>
  <c r="T358" i="1"/>
  <c r="S358" i="1"/>
  <c r="R358" i="1"/>
  <c r="D358" i="1"/>
  <c r="Q358" i="1" s="1"/>
  <c r="V358" i="1" s="1"/>
  <c r="W357" i="1"/>
  <c r="U357" i="1"/>
  <c r="T357" i="1"/>
  <c r="S357" i="1"/>
  <c r="R357" i="1"/>
  <c r="D357" i="1"/>
  <c r="Q357" i="1" s="1"/>
  <c r="V357" i="1" s="1"/>
  <c r="W356" i="1"/>
  <c r="U356" i="1"/>
  <c r="T356" i="1"/>
  <c r="S356" i="1"/>
  <c r="R356" i="1"/>
  <c r="Q356" i="1"/>
  <c r="V356" i="1" s="1"/>
  <c r="D356" i="1"/>
  <c r="W355" i="1"/>
  <c r="U355" i="1"/>
  <c r="T355" i="1"/>
  <c r="S355" i="1"/>
  <c r="R355" i="1"/>
  <c r="Q355" i="1"/>
  <c r="V355" i="1" s="1"/>
  <c r="D355" i="1"/>
  <c r="W354" i="1"/>
  <c r="U354" i="1"/>
  <c r="T354" i="1"/>
  <c r="S354" i="1"/>
  <c r="R354" i="1"/>
  <c r="D354" i="1"/>
  <c r="Q354" i="1" s="1"/>
  <c r="V354" i="1" s="1"/>
  <c r="W353" i="1"/>
  <c r="U353" i="1"/>
  <c r="T353" i="1"/>
  <c r="S353" i="1"/>
  <c r="R353" i="1"/>
  <c r="D353" i="1"/>
  <c r="Q353" i="1" s="1"/>
  <c r="V353" i="1" s="1"/>
  <c r="W352" i="1"/>
  <c r="U352" i="1"/>
  <c r="T352" i="1"/>
  <c r="S352" i="1"/>
  <c r="R352" i="1"/>
  <c r="D352" i="1"/>
  <c r="Q352" i="1" s="1"/>
  <c r="V352" i="1" s="1"/>
  <c r="W351" i="1"/>
  <c r="U351" i="1"/>
  <c r="T351" i="1"/>
  <c r="S351" i="1"/>
  <c r="R351" i="1"/>
  <c r="D351" i="1"/>
  <c r="Q351" i="1" s="1"/>
  <c r="V351" i="1" s="1"/>
  <c r="W350" i="1"/>
  <c r="U350" i="1"/>
  <c r="T350" i="1"/>
  <c r="S350" i="1"/>
  <c r="R350" i="1"/>
  <c r="D350" i="1"/>
  <c r="Q350" i="1" s="1"/>
  <c r="V350" i="1" s="1"/>
  <c r="W349" i="1"/>
  <c r="U349" i="1"/>
  <c r="T349" i="1"/>
  <c r="S349" i="1"/>
  <c r="R349" i="1"/>
  <c r="D349" i="1"/>
  <c r="Q349" i="1" s="1"/>
  <c r="V349" i="1" s="1"/>
  <c r="W348" i="1"/>
  <c r="U348" i="1"/>
  <c r="T348" i="1"/>
  <c r="S348" i="1"/>
  <c r="R348" i="1"/>
  <c r="Q348" i="1"/>
  <c r="V348" i="1" s="1"/>
  <c r="D348" i="1"/>
  <c r="W347" i="1"/>
  <c r="U347" i="1"/>
  <c r="T347" i="1"/>
  <c r="S347" i="1"/>
  <c r="R347" i="1"/>
  <c r="Q347" i="1"/>
  <c r="V347" i="1" s="1"/>
  <c r="D347" i="1"/>
  <c r="W346" i="1"/>
  <c r="U346" i="1"/>
  <c r="T346" i="1"/>
  <c r="S346" i="1"/>
  <c r="R346" i="1"/>
  <c r="D346" i="1"/>
  <c r="Q346" i="1" s="1"/>
  <c r="V346" i="1" s="1"/>
  <c r="W345" i="1"/>
  <c r="U345" i="1"/>
  <c r="T345" i="1"/>
  <c r="S345" i="1"/>
  <c r="R345" i="1"/>
  <c r="D345" i="1"/>
  <c r="Q345" i="1" s="1"/>
  <c r="V345" i="1" s="1"/>
  <c r="W344" i="1"/>
  <c r="U344" i="1"/>
  <c r="T344" i="1"/>
  <c r="S344" i="1"/>
  <c r="R344" i="1"/>
  <c r="D344" i="1"/>
  <c r="Q344" i="1" s="1"/>
  <c r="V344" i="1" s="1"/>
  <c r="W343" i="1"/>
  <c r="U343" i="1"/>
  <c r="T343" i="1"/>
  <c r="S343" i="1"/>
  <c r="R343" i="1"/>
  <c r="D343" i="1"/>
  <c r="Q343" i="1" s="1"/>
  <c r="V343" i="1" s="1"/>
  <c r="W342" i="1"/>
  <c r="U342" i="1"/>
  <c r="T342" i="1"/>
  <c r="S342" i="1"/>
  <c r="R342" i="1"/>
  <c r="D342" i="1"/>
  <c r="Q342" i="1" s="1"/>
  <c r="V342" i="1" s="1"/>
  <c r="W341" i="1"/>
  <c r="U341" i="1"/>
  <c r="T341" i="1"/>
  <c r="S341" i="1"/>
  <c r="R341" i="1"/>
  <c r="D341" i="1"/>
  <c r="Q341" i="1" s="1"/>
  <c r="V341" i="1" s="1"/>
  <c r="W340" i="1"/>
  <c r="U340" i="1"/>
  <c r="T340" i="1"/>
  <c r="S340" i="1"/>
  <c r="R340" i="1"/>
  <c r="Q340" i="1"/>
  <c r="V340" i="1" s="1"/>
  <c r="D340" i="1"/>
  <c r="W339" i="1"/>
  <c r="U339" i="1"/>
  <c r="T339" i="1"/>
  <c r="S339" i="1"/>
  <c r="R339" i="1"/>
  <c r="Q339" i="1"/>
  <c r="V339" i="1" s="1"/>
  <c r="D339" i="1"/>
  <c r="W338" i="1"/>
  <c r="U338" i="1"/>
  <c r="T338" i="1"/>
  <c r="S338" i="1"/>
  <c r="R338" i="1"/>
  <c r="D338" i="1"/>
  <c r="Q338" i="1" s="1"/>
  <c r="V338" i="1" s="1"/>
  <c r="W337" i="1"/>
  <c r="U337" i="1"/>
  <c r="T337" i="1"/>
  <c r="S337" i="1"/>
  <c r="R337" i="1"/>
  <c r="D337" i="1"/>
  <c r="Q337" i="1" s="1"/>
  <c r="V337" i="1" s="1"/>
  <c r="W336" i="1"/>
  <c r="U336" i="1"/>
  <c r="T336" i="1"/>
  <c r="S336" i="1"/>
  <c r="R336" i="1"/>
  <c r="D336" i="1"/>
  <c r="Q336" i="1" s="1"/>
  <c r="V336" i="1" s="1"/>
  <c r="W335" i="1"/>
  <c r="U335" i="1"/>
  <c r="T335" i="1"/>
  <c r="S335" i="1"/>
  <c r="R335" i="1"/>
  <c r="D335" i="1"/>
  <c r="Q335" i="1" s="1"/>
  <c r="V335" i="1" s="1"/>
  <c r="W334" i="1"/>
  <c r="U334" i="1"/>
  <c r="T334" i="1"/>
  <c r="S334" i="1"/>
  <c r="R334" i="1"/>
  <c r="D334" i="1"/>
  <c r="Q334" i="1" s="1"/>
  <c r="V334" i="1" s="1"/>
  <c r="W333" i="1"/>
  <c r="U333" i="1"/>
  <c r="T333" i="1"/>
  <c r="S333" i="1"/>
  <c r="R333" i="1"/>
  <c r="D333" i="1"/>
  <c r="Q333" i="1" s="1"/>
  <c r="V333" i="1" s="1"/>
  <c r="W332" i="1"/>
  <c r="U332" i="1"/>
  <c r="T332" i="1"/>
  <c r="S332" i="1"/>
  <c r="R332" i="1"/>
  <c r="Q332" i="1"/>
  <c r="V332" i="1" s="1"/>
  <c r="D332" i="1"/>
  <c r="W331" i="1"/>
  <c r="U331" i="1"/>
  <c r="T331" i="1"/>
  <c r="S331" i="1"/>
  <c r="R331" i="1"/>
  <c r="Q331" i="1"/>
  <c r="V331" i="1" s="1"/>
  <c r="D331" i="1"/>
  <c r="W330" i="1"/>
  <c r="U330" i="1"/>
  <c r="T330" i="1"/>
  <c r="S330" i="1"/>
  <c r="R330" i="1"/>
  <c r="D330" i="1"/>
  <c r="Q330" i="1" s="1"/>
  <c r="V330" i="1" s="1"/>
  <c r="W329" i="1"/>
  <c r="U329" i="1"/>
  <c r="T329" i="1"/>
  <c r="S329" i="1"/>
  <c r="R329" i="1"/>
  <c r="D329" i="1"/>
  <c r="Q329" i="1" s="1"/>
  <c r="V329" i="1" s="1"/>
  <c r="W328" i="1"/>
  <c r="U328" i="1"/>
  <c r="T328" i="1"/>
  <c r="S328" i="1"/>
  <c r="R328" i="1"/>
  <c r="D328" i="1"/>
  <c r="Q328" i="1" s="1"/>
  <c r="V328" i="1" s="1"/>
  <c r="W327" i="1"/>
  <c r="U327" i="1"/>
  <c r="T327" i="1"/>
  <c r="S327" i="1"/>
  <c r="R327" i="1"/>
  <c r="D327" i="1"/>
  <c r="Q327" i="1" s="1"/>
  <c r="V327" i="1" s="1"/>
  <c r="W326" i="1"/>
  <c r="U326" i="1"/>
  <c r="T326" i="1"/>
  <c r="S326" i="1"/>
  <c r="R326" i="1"/>
  <c r="D326" i="1"/>
  <c r="Q326" i="1" s="1"/>
  <c r="V326" i="1" s="1"/>
  <c r="W325" i="1"/>
  <c r="U325" i="1"/>
  <c r="T325" i="1"/>
  <c r="S325" i="1"/>
  <c r="R325" i="1"/>
  <c r="D325" i="1"/>
  <c r="Q325" i="1" s="1"/>
  <c r="V325" i="1" s="1"/>
  <c r="W324" i="1"/>
  <c r="U324" i="1"/>
  <c r="T324" i="1"/>
  <c r="S324" i="1"/>
  <c r="R324" i="1"/>
  <c r="Q324" i="1"/>
  <c r="V324" i="1" s="1"/>
  <c r="D324" i="1"/>
  <c r="W323" i="1"/>
  <c r="U323" i="1"/>
  <c r="T323" i="1"/>
  <c r="S323" i="1"/>
  <c r="R323" i="1"/>
  <c r="Q323" i="1"/>
  <c r="V323" i="1" s="1"/>
  <c r="D323" i="1"/>
  <c r="W322" i="1"/>
  <c r="U322" i="1"/>
  <c r="T322" i="1"/>
  <c r="S322" i="1"/>
  <c r="R322" i="1"/>
  <c r="D322" i="1"/>
  <c r="Q322" i="1" s="1"/>
  <c r="V322" i="1" s="1"/>
  <c r="W321" i="1"/>
  <c r="U321" i="1"/>
  <c r="T321" i="1"/>
  <c r="S321" i="1"/>
  <c r="R321" i="1"/>
  <c r="D321" i="1"/>
  <c r="Q321" i="1" s="1"/>
  <c r="V321" i="1" s="1"/>
  <c r="W320" i="1"/>
  <c r="U320" i="1"/>
  <c r="T320" i="1"/>
  <c r="S320" i="1"/>
  <c r="R320" i="1"/>
  <c r="D320" i="1"/>
  <c r="Q320" i="1" s="1"/>
  <c r="V320" i="1" s="1"/>
  <c r="W319" i="1"/>
  <c r="U319" i="1"/>
  <c r="T319" i="1"/>
  <c r="S319" i="1"/>
  <c r="R319" i="1"/>
  <c r="D319" i="1"/>
  <c r="Q319" i="1" s="1"/>
  <c r="V319" i="1" s="1"/>
  <c r="W318" i="1"/>
  <c r="U318" i="1"/>
  <c r="T318" i="1"/>
  <c r="S318" i="1"/>
  <c r="R318" i="1"/>
  <c r="D318" i="1"/>
  <c r="Q318" i="1" s="1"/>
  <c r="V318" i="1" s="1"/>
  <c r="W317" i="1"/>
  <c r="U317" i="1"/>
  <c r="T317" i="1"/>
  <c r="S317" i="1"/>
  <c r="R317" i="1"/>
  <c r="D317" i="1"/>
  <c r="Q317" i="1" s="1"/>
  <c r="V317" i="1" s="1"/>
  <c r="W316" i="1"/>
  <c r="U316" i="1"/>
  <c r="T316" i="1"/>
  <c r="S316" i="1"/>
  <c r="R316" i="1"/>
  <c r="Q316" i="1"/>
  <c r="V316" i="1" s="1"/>
  <c r="D316" i="1"/>
  <c r="W315" i="1"/>
  <c r="U315" i="1"/>
  <c r="T315" i="1"/>
  <c r="S315" i="1"/>
  <c r="R315" i="1"/>
  <c r="Q315" i="1"/>
  <c r="V315" i="1" s="1"/>
  <c r="D315" i="1"/>
  <c r="W314" i="1"/>
  <c r="U314" i="1"/>
  <c r="T314" i="1"/>
  <c r="S314" i="1"/>
  <c r="R314" i="1"/>
  <c r="D314" i="1"/>
  <c r="Q314" i="1" s="1"/>
  <c r="V314" i="1" s="1"/>
  <c r="W313" i="1"/>
  <c r="U313" i="1"/>
  <c r="T313" i="1"/>
  <c r="S313" i="1"/>
  <c r="R313" i="1"/>
  <c r="D313" i="1"/>
  <c r="Q313" i="1" s="1"/>
  <c r="V313" i="1" s="1"/>
  <c r="W312" i="1"/>
  <c r="U312" i="1"/>
  <c r="T312" i="1"/>
  <c r="S312" i="1"/>
  <c r="R312" i="1"/>
  <c r="D312" i="1"/>
  <c r="Q312" i="1" s="1"/>
  <c r="V312" i="1" s="1"/>
  <c r="W311" i="1"/>
  <c r="U311" i="1"/>
  <c r="T311" i="1"/>
  <c r="S311" i="1"/>
  <c r="R311" i="1"/>
  <c r="D311" i="1"/>
  <c r="Q311" i="1" s="1"/>
  <c r="V311" i="1" s="1"/>
  <c r="W310" i="1"/>
  <c r="U310" i="1"/>
  <c r="T310" i="1"/>
  <c r="S310" i="1"/>
  <c r="R310" i="1"/>
  <c r="D310" i="1"/>
  <c r="Q310" i="1" s="1"/>
  <c r="V310" i="1" s="1"/>
  <c r="W309" i="1"/>
  <c r="U309" i="1"/>
  <c r="T309" i="1"/>
  <c r="S309" i="1"/>
  <c r="R309" i="1"/>
  <c r="D309" i="1"/>
  <c r="Q309" i="1" s="1"/>
  <c r="V309" i="1" s="1"/>
  <c r="W308" i="1"/>
  <c r="U308" i="1"/>
  <c r="T308" i="1"/>
  <c r="S308" i="1"/>
  <c r="R308" i="1"/>
  <c r="Q308" i="1"/>
  <c r="V308" i="1" s="1"/>
  <c r="D308" i="1"/>
  <c r="W307" i="1"/>
  <c r="U307" i="1"/>
  <c r="T307" i="1"/>
  <c r="S307" i="1"/>
  <c r="R307" i="1"/>
  <c r="Q307" i="1"/>
  <c r="V307" i="1" s="1"/>
  <c r="D307" i="1"/>
  <c r="W306" i="1"/>
  <c r="U306" i="1"/>
  <c r="T306" i="1"/>
  <c r="S306" i="1"/>
  <c r="R306" i="1"/>
  <c r="D306" i="1"/>
  <c r="Q306" i="1" s="1"/>
  <c r="V306" i="1" s="1"/>
  <c r="W305" i="1"/>
  <c r="U305" i="1"/>
  <c r="T305" i="1"/>
  <c r="S305" i="1"/>
  <c r="R305" i="1"/>
  <c r="D305" i="1"/>
  <c r="Q305" i="1" s="1"/>
  <c r="V305" i="1" s="1"/>
  <c r="W304" i="1"/>
  <c r="U304" i="1"/>
  <c r="T304" i="1"/>
  <c r="S304" i="1"/>
  <c r="R304" i="1"/>
  <c r="D304" i="1"/>
  <c r="Q304" i="1" s="1"/>
  <c r="V304" i="1" s="1"/>
  <c r="W303" i="1"/>
  <c r="U303" i="1"/>
  <c r="T303" i="1"/>
  <c r="S303" i="1"/>
  <c r="R303" i="1"/>
  <c r="D303" i="1"/>
  <c r="Q303" i="1" s="1"/>
  <c r="V303" i="1" s="1"/>
  <c r="W302" i="1"/>
  <c r="U302" i="1"/>
  <c r="T302" i="1"/>
  <c r="S302" i="1"/>
  <c r="R302" i="1"/>
  <c r="D302" i="1"/>
  <c r="Q302" i="1" s="1"/>
  <c r="V302" i="1" s="1"/>
  <c r="W301" i="1"/>
  <c r="U301" i="1"/>
  <c r="T301" i="1"/>
  <c r="S301" i="1"/>
  <c r="R301" i="1"/>
  <c r="D301" i="1"/>
  <c r="Q301" i="1" s="1"/>
  <c r="V301" i="1" s="1"/>
  <c r="W300" i="1"/>
  <c r="U300" i="1"/>
  <c r="T300" i="1"/>
  <c r="S300" i="1"/>
  <c r="R300" i="1"/>
  <c r="Q300" i="1"/>
  <c r="V300" i="1" s="1"/>
  <c r="D300" i="1"/>
  <c r="W299" i="1"/>
  <c r="U299" i="1"/>
  <c r="T299" i="1"/>
  <c r="S299" i="1"/>
  <c r="R299" i="1"/>
  <c r="Q299" i="1"/>
  <c r="V299" i="1" s="1"/>
  <c r="D299" i="1"/>
  <c r="W298" i="1"/>
  <c r="U298" i="1"/>
  <c r="T298" i="1"/>
  <c r="S298" i="1"/>
  <c r="R298" i="1"/>
  <c r="D298" i="1"/>
  <c r="Q298" i="1" s="1"/>
  <c r="V298" i="1" s="1"/>
  <c r="W297" i="1"/>
  <c r="U297" i="1"/>
  <c r="T297" i="1"/>
  <c r="S297" i="1"/>
  <c r="R297" i="1"/>
  <c r="D297" i="1"/>
  <c r="Q297" i="1" s="1"/>
  <c r="V297" i="1" s="1"/>
  <c r="W296" i="1"/>
  <c r="U296" i="1"/>
  <c r="T296" i="1"/>
  <c r="S296" i="1"/>
  <c r="R296" i="1"/>
  <c r="D296" i="1"/>
  <c r="Q296" i="1" s="1"/>
  <c r="V296" i="1" s="1"/>
  <c r="W295" i="1"/>
  <c r="U295" i="1"/>
  <c r="T295" i="1"/>
  <c r="S295" i="1"/>
  <c r="R295" i="1"/>
  <c r="D295" i="1"/>
  <c r="Q295" i="1" s="1"/>
  <c r="V295" i="1" s="1"/>
  <c r="W294" i="1"/>
  <c r="U294" i="1"/>
  <c r="T294" i="1"/>
  <c r="S294" i="1"/>
  <c r="R294" i="1"/>
  <c r="D294" i="1"/>
  <c r="Q294" i="1" s="1"/>
  <c r="V294" i="1" s="1"/>
  <c r="W293" i="1"/>
  <c r="U293" i="1"/>
  <c r="T293" i="1"/>
  <c r="S293" i="1"/>
  <c r="R293" i="1"/>
  <c r="D293" i="1"/>
  <c r="Q293" i="1" s="1"/>
  <c r="V293" i="1" s="1"/>
  <c r="W292" i="1"/>
  <c r="U292" i="1"/>
  <c r="T292" i="1"/>
  <c r="S292" i="1"/>
  <c r="R292" i="1"/>
  <c r="Q292" i="1"/>
  <c r="V292" i="1" s="1"/>
  <c r="D292" i="1"/>
  <c r="W291" i="1"/>
  <c r="U291" i="1"/>
  <c r="T291" i="1"/>
  <c r="S291" i="1"/>
  <c r="R291" i="1"/>
  <c r="Q291" i="1"/>
  <c r="V291" i="1" s="1"/>
  <c r="D291" i="1"/>
  <c r="W290" i="1"/>
  <c r="U290" i="1"/>
  <c r="T290" i="1"/>
  <c r="S290" i="1"/>
  <c r="R290" i="1"/>
  <c r="D290" i="1"/>
  <c r="Q290" i="1" s="1"/>
  <c r="V290" i="1" s="1"/>
  <c r="W289" i="1"/>
  <c r="U289" i="1"/>
  <c r="T289" i="1"/>
  <c r="S289" i="1"/>
  <c r="R289" i="1"/>
  <c r="D289" i="1"/>
  <c r="Q289" i="1" s="1"/>
  <c r="V289" i="1" s="1"/>
  <c r="W288" i="1"/>
  <c r="U288" i="1"/>
  <c r="T288" i="1"/>
  <c r="S288" i="1"/>
  <c r="R288" i="1"/>
  <c r="D288" i="1"/>
  <c r="Q288" i="1" s="1"/>
  <c r="V288" i="1" s="1"/>
  <c r="W287" i="1"/>
  <c r="U287" i="1"/>
  <c r="T287" i="1"/>
  <c r="S287" i="1"/>
  <c r="R287" i="1"/>
  <c r="D287" i="1"/>
  <c r="Q287" i="1" s="1"/>
  <c r="V287" i="1" s="1"/>
  <c r="W286" i="1"/>
  <c r="U286" i="1"/>
  <c r="T286" i="1"/>
  <c r="S286" i="1"/>
  <c r="R286" i="1"/>
  <c r="D286" i="1"/>
  <c r="Q286" i="1" s="1"/>
  <c r="V286" i="1" s="1"/>
  <c r="W285" i="1"/>
  <c r="U285" i="1"/>
  <c r="T285" i="1"/>
  <c r="S285" i="1"/>
  <c r="R285" i="1"/>
  <c r="D285" i="1"/>
  <c r="Q285" i="1" s="1"/>
  <c r="V285" i="1" s="1"/>
  <c r="W284" i="1"/>
  <c r="U284" i="1"/>
  <c r="T284" i="1"/>
  <c r="S284" i="1"/>
  <c r="R284" i="1"/>
  <c r="Q284" i="1"/>
  <c r="V284" i="1" s="1"/>
  <c r="D284" i="1"/>
  <c r="W283" i="1"/>
  <c r="U283" i="1"/>
  <c r="T283" i="1"/>
  <c r="S283" i="1"/>
  <c r="R283" i="1"/>
  <c r="Q283" i="1"/>
  <c r="V283" i="1" s="1"/>
  <c r="D283" i="1"/>
  <c r="W282" i="1"/>
  <c r="U282" i="1"/>
  <c r="T282" i="1"/>
  <c r="S282" i="1"/>
  <c r="R282" i="1"/>
  <c r="D282" i="1"/>
  <c r="Q282" i="1" s="1"/>
  <c r="V282" i="1" s="1"/>
  <c r="W281" i="1"/>
  <c r="U281" i="1"/>
  <c r="T281" i="1"/>
  <c r="S281" i="1"/>
  <c r="R281" i="1"/>
  <c r="D281" i="1"/>
  <c r="Q281" i="1" s="1"/>
  <c r="V281" i="1" s="1"/>
  <c r="W280" i="1"/>
  <c r="U280" i="1"/>
  <c r="T280" i="1"/>
  <c r="S280" i="1"/>
  <c r="R280" i="1"/>
  <c r="D280" i="1"/>
  <c r="Q280" i="1" s="1"/>
  <c r="V280" i="1" s="1"/>
  <c r="W279" i="1"/>
  <c r="U279" i="1"/>
  <c r="T279" i="1"/>
  <c r="S279" i="1"/>
  <c r="R279" i="1"/>
  <c r="D279" i="1"/>
  <c r="Q279" i="1" s="1"/>
  <c r="V279" i="1" s="1"/>
  <c r="W278" i="1"/>
  <c r="U278" i="1"/>
  <c r="T278" i="1"/>
  <c r="S278" i="1"/>
  <c r="R278" i="1"/>
  <c r="D278" i="1"/>
  <c r="Q278" i="1" s="1"/>
  <c r="V278" i="1" s="1"/>
  <c r="W277" i="1"/>
  <c r="U277" i="1"/>
  <c r="T277" i="1"/>
  <c r="S277" i="1"/>
  <c r="R277" i="1"/>
  <c r="D277" i="1"/>
  <c r="Q277" i="1" s="1"/>
  <c r="V277" i="1" s="1"/>
  <c r="W276" i="1"/>
  <c r="U276" i="1"/>
  <c r="T276" i="1"/>
  <c r="S276" i="1"/>
  <c r="R276" i="1"/>
  <c r="D276" i="1"/>
  <c r="Q276" i="1" s="1"/>
  <c r="V276" i="1" s="1"/>
  <c r="W275" i="1"/>
  <c r="U275" i="1"/>
  <c r="T275" i="1"/>
  <c r="S275" i="1"/>
  <c r="R275" i="1"/>
  <c r="D275" i="1"/>
  <c r="Q275" i="1" s="1"/>
  <c r="V275" i="1" s="1"/>
  <c r="W274" i="1"/>
  <c r="U274" i="1"/>
  <c r="T274" i="1"/>
  <c r="S274" i="1"/>
  <c r="R274" i="1"/>
  <c r="D274" i="1"/>
  <c r="Q274" i="1" s="1"/>
  <c r="V274" i="1" s="1"/>
  <c r="W273" i="1"/>
  <c r="U273" i="1"/>
  <c r="T273" i="1"/>
  <c r="S273" i="1"/>
  <c r="R273" i="1"/>
  <c r="D273" i="1"/>
  <c r="Q273" i="1" s="1"/>
  <c r="V273" i="1" s="1"/>
  <c r="W272" i="1"/>
  <c r="U272" i="1"/>
  <c r="T272" i="1"/>
  <c r="S272" i="1"/>
  <c r="R272" i="1"/>
  <c r="D272" i="1"/>
  <c r="Q272" i="1" s="1"/>
  <c r="V272" i="1" s="1"/>
  <c r="W271" i="1"/>
  <c r="U271" i="1"/>
  <c r="T271" i="1"/>
  <c r="S271" i="1"/>
  <c r="R271" i="1"/>
  <c r="D271" i="1"/>
  <c r="Q271" i="1" s="1"/>
  <c r="V271" i="1" s="1"/>
  <c r="W270" i="1"/>
  <c r="U270" i="1"/>
  <c r="T270" i="1"/>
  <c r="S270" i="1"/>
  <c r="R270" i="1"/>
  <c r="D270" i="1"/>
  <c r="Q270" i="1" s="1"/>
  <c r="V270" i="1" s="1"/>
  <c r="W269" i="1"/>
  <c r="U269" i="1"/>
  <c r="T269" i="1"/>
  <c r="S269" i="1"/>
  <c r="R269" i="1"/>
  <c r="D269" i="1"/>
  <c r="Q269" i="1" s="1"/>
  <c r="V269" i="1" s="1"/>
  <c r="W268" i="1"/>
  <c r="U268" i="1"/>
  <c r="T268" i="1"/>
  <c r="S268" i="1"/>
  <c r="R268" i="1"/>
  <c r="D268" i="1"/>
  <c r="Q268" i="1" s="1"/>
  <c r="V268" i="1" s="1"/>
  <c r="W267" i="1"/>
  <c r="U267" i="1"/>
  <c r="T267" i="1"/>
  <c r="S267" i="1"/>
  <c r="R267" i="1"/>
  <c r="D267" i="1"/>
  <c r="Q267" i="1" s="1"/>
  <c r="V267" i="1" s="1"/>
  <c r="W266" i="1"/>
  <c r="U266" i="1"/>
  <c r="T266" i="1"/>
  <c r="S266" i="1"/>
  <c r="R266" i="1"/>
  <c r="D266" i="1"/>
  <c r="Q266" i="1" s="1"/>
  <c r="V266" i="1" s="1"/>
  <c r="W265" i="1"/>
  <c r="U265" i="1"/>
  <c r="T265" i="1"/>
  <c r="S265" i="1"/>
  <c r="R265" i="1"/>
  <c r="D265" i="1"/>
  <c r="Q265" i="1" s="1"/>
  <c r="V265" i="1" s="1"/>
  <c r="W264" i="1"/>
  <c r="U264" i="1"/>
  <c r="T264" i="1"/>
  <c r="S264" i="1"/>
  <c r="R264" i="1"/>
  <c r="D264" i="1"/>
  <c r="Q264" i="1" s="1"/>
  <c r="V264" i="1" s="1"/>
  <c r="W263" i="1"/>
  <c r="U263" i="1"/>
  <c r="T263" i="1"/>
  <c r="S263" i="1"/>
  <c r="R263" i="1"/>
  <c r="D263" i="1"/>
  <c r="Q263" i="1" s="1"/>
  <c r="V263" i="1" s="1"/>
  <c r="W262" i="1"/>
  <c r="U262" i="1"/>
  <c r="T262" i="1"/>
  <c r="S262" i="1"/>
  <c r="R262" i="1"/>
  <c r="D262" i="1"/>
  <c r="Q262" i="1" s="1"/>
  <c r="V262" i="1" s="1"/>
  <c r="W261" i="1"/>
  <c r="U261" i="1"/>
  <c r="T261" i="1"/>
  <c r="S261" i="1"/>
  <c r="R261" i="1"/>
  <c r="D261" i="1"/>
  <c r="Q261" i="1" s="1"/>
  <c r="V261" i="1" s="1"/>
  <c r="W260" i="1"/>
  <c r="U260" i="1"/>
  <c r="T260" i="1"/>
  <c r="S260" i="1"/>
  <c r="R260" i="1"/>
  <c r="D260" i="1"/>
  <c r="Q260" i="1" s="1"/>
  <c r="V260" i="1" s="1"/>
  <c r="W259" i="1"/>
  <c r="U259" i="1"/>
  <c r="T259" i="1"/>
  <c r="S259" i="1"/>
  <c r="R259" i="1"/>
  <c r="D259" i="1"/>
  <c r="Q259" i="1" s="1"/>
  <c r="V259" i="1" s="1"/>
  <c r="W258" i="1"/>
  <c r="U258" i="1"/>
  <c r="T258" i="1"/>
  <c r="S258" i="1"/>
  <c r="R258" i="1"/>
  <c r="D258" i="1"/>
  <c r="Q258" i="1" s="1"/>
  <c r="V258" i="1" s="1"/>
  <c r="W257" i="1"/>
  <c r="U257" i="1"/>
  <c r="T257" i="1"/>
  <c r="S257" i="1"/>
  <c r="R257" i="1"/>
  <c r="D257" i="1"/>
  <c r="Q257" i="1" s="1"/>
  <c r="V257" i="1" s="1"/>
  <c r="W256" i="1"/>
  <c r="U256" i="1"/>
  <c r="T256" i="1"/>
  <c r="S256" i="1"/>
  <c r="R256" i="1"/>
  <c r="D256" i="1"/>
  <c r="Q256" i="1" s="1"/>
  <c r="V256" i="1" s="1"/>
  <c r="W255" i="1"/>
  <c r="U255" i="1"/>
  <c r="T255" i="1"/>
  <c r="S255" i="1"/>
  <c r="R255" i="1"/>
  <c r="D255" i="1"/>
  <c r="Q255" i="1" s="1"/>
  <c r="V255" i="1" s="1"/>
  <c r="W254" i="1"/>
  <c r="U254" i="1"/>
  <c r="T254" i="1"/>
  <c r="S254" i="1"/>
  <c r="R254" i="1"/>
  <c r="D254" i="1"/>
  <c r="Q254" i="1" s="1"/>
  <c r="V254" i="1" s="1"/>
  <c r="W253" i="1"/>
  <c r="U253" i="1"/>
  <c r="T253" i="1"/>
  <c r="S253" i="1"/>
  <c r="R253" i="1"/>
  <c r="D253" i="1"/>
  <c r="Q253" i="1" s="1"/>
  <c r="V253" i="1" s="1"/>
  <c r="W252" i="1"/>
  <c r="U252" i="1"/>
  <c r="T252" i="1"/>
  <c r="S252" i="1"/>
  <c r="R252" i="1"/>
  <c r="D252" i="1"/>
  <c r="Q252" i="1" s="1"/>
  <c r="V252" i="1" s="1"/>
  <c r="W251" i="1"/>
  <c r="U251" i="1"/>
  <c r="T251" i="1"/>
  <c r="S251" i="1"/>
  <c r="R251" i="1"/>
  <c r="D251" i="1"/>
  <c r="Q251" i="1" s="1"/>
  <c r="V251" i="1" s="1"/>
  <c r="W250" i="1"/>
  <c r="U250" i="1"/>
  <c r="T250" i="1"/>
  <c r="S250" i="1"/>
  <c r="R250" i="1"/>
  <c r="D250" i="1"/>
  <c r="Q250" i="1" s="1"/>
  <c r="V250" i="1" s="1"/>
  <c r="W249" i="1"/>
  <c r="U249" i="1"/>
  <c r="T249" i="1"/>
  <c r="S249" i="1"/>
  <c r="R249" i="1"/>
  <c r="D249" i="1"/>
  <c r="Q249" i="1" s="1"/>
  <c r="V249" i="1" s="1"/>
  <c r="W248" i="1"/>
  <c r="U248" i="1"/>
  <c r="T248" i="1"/>
  <c r="S248" i="1"/>
  <c r="R248" i="1"/>
  <c r="D248" i="1"/>
  <c r="Q248" i="1" s="1"/>
  <c r="V248" i="1" s="1"/>
  <c r="W247" i="1"/>
  <c r="U247" i="1"/>
  <c r="T247" i="1"/>
  <c r="S247" i="1"/>
  <c r="R247" i="1"/>
  <c r="D247" i="1"/>
  <c r="Q247" i="1" s="1"/>
  <c r="V247" i="1" s="1"/>
  <c r="W246" i="1"/>
  <c r="U246" i="1"/>
  <c r="T246" i="1"/>
  <c r="S246" i="1"/>
  <c r="R246" i="1"/>
  <c r="D246" i="1"/>
  <c r="Q246" i="1" s="1"/>
  <c r="V246" i="1" s="1"/>
  <c r="W245" i="1"/>
  <c r="U245" i="1"/>
  <c r="T245" i="1"/>
  <c r="S245" i="1"/>
  <c r="R245" i="1"/>
  <c r="D245" i="1"/>
  <c r="Q245" i="1" s="1"/>
  <c r="V245" i="1" s="1"/>
  <c r="W244" i="1"/>
  <c r="U244" i="1"/>
  <c r="T244" i="1"/>
  <c r="S244" i="1"/>
  <c r="R244" i="1"/>
  <c r="D244" i="1"/>
  <c r="Q244" i="1" s="1"/>
  <c r="V244" i="1" s="1"/>
  <c r="W243" i="1"/>
  <c r="U243" i="1"/>
  <c r="T243" i="1"/>
  <c r="S243" i="1"/>
  <c r="R243" i="1"/>
  <c r="D243" i="1"/>
  <c r="Q243" i="1" s="1"/>
  <c r="V243" i="1" s="1"/>
  <c r="W242" i="1"/>
  <c r="U242" i="1"/>
  <c r="T242" i="1"/>
  <c r="S242" i="1"/>
  <c r="R242" i="1"/>
  <c r="D242" i="1"/>
  <c r="Q242" i="1" s="1"/>
  <c r="V242" i="1" s="1"/>
  <c r="W241" i="1"/>
  <c r="U241" i="1"/>
  <c r="T241" i="1"/>
  <c r="S241" i="1"/>
  <c r="R241" i="1"/>
  <c r="D241" i="1"/>
  <c r="Q241" i="1" s="1"/>
  <c r="V241" i="1" s="1"/>
  <c r="W240" i="1"/>
  <c r="U240" i="1"/>
  <c r="T240" i="1"/>
  <c r="S240" i="1"/>
  <c r="R240" i="1"/>
  <c r="D240" i="1"/>
  <c r="Q240" i="1" s="1"/>
  <c r="V240" i="1" s="1"/>
  <c r="W239" i="1"/>
  <c r="U239" i="1"/>
  <c r="T239" i="1"/>
  <c r="S239" i="1"/>
  <c r="R239" i="1"/>
  <c r="D239" i="1"/>
  <c r="Q239" i="1" s="1"/>
  <c r="V239" i="1" s="1"/>
  <c r="W238" i="1"/>
  <c r="U238" i="1"/>
  <c r="T238" i="1"/>
  <c r="S238" i="1"/>
  <c r="R238" i="1"/>
  <c r="D238" i="1"/>
  <c r="Q238" i="1" s="1"/>
  <c r="V238" i="1" s="1"/>
  <c r="W237" i="1"/>
  <c r="U237" i="1"/>
  <c r="T237" i="1"/>
  <c r="S237" i="1"/>
  <c r="R237" i="1"/>
  <c r="D237" i="1"/>
  <c r="Q237" i="1" s="1"/>
  <c r="V237" i="1" s="1"/>
  <c r="W236" i="1"/>
  <c r="U236" i="1"/>
  <c r="T236" i="1"/>
  <c r="S236" i="1"/>
  <c r="R236" i="1"/>
  <c r="D236" i="1"/>
  <c r="Q236" i="1" s="1"/>
  <c r="V236" i="1" s="1"/>
  <c r="W235" i="1"/>
  <c r="U235" i="1"/>
  <c r="T235" i="1"/>
  <c r="S235" i="1"/>
  <c r="R235" i="1"/>
  <c r="D235" i="1"/>
  <c r="Q235" i="1" s="1"/>
  <c r="V235" i="1" s="1"/>
  <c r="W234" i="1"/>
  <c r="U234" i="1"/>
  <c r="T234" i="1"/>
  <c r="S234" i="1"/>
  <c r="R234" i="1"/>
  <c r="D234" i="1"/>
  <c r="Q234" i="1" s="1"/>
  <c r="V234" i="1" s="1"/>
  <c r="W233" i="1"/>
  <c r="U233" i="1"/>
  <c r="T233" i="1"/>
  <c r="S233" i="1"/>
  <c r="R233" i="1"/>
  <c r="D233" i="1"/>
  <c r="Q233" i="1" s="1"/>
  <c r="V233" i="1" s="1"/>
  <c r="W232" i="1"/>
  <c r="U232" i="1"/>
  <c r="T232" i="1"/>
  <c r="S232" i="1"/>
  <c r="R232" i="1"/>
  <c r="D232" i="1"/>
  <c r="Q232" i="1" s="1"/>
  <c r="V232" i="1" s="1"/>
  <c r="W231" i="1"/>
  <c r="U231" i="1"/>
  <c r="T231" i="1"/>
  <c r="S231" i="1"/>
  <c r="R231" i="1"/>
  <c r="D231" i="1"/>
  <c r="Q231" i="1" s="1"/>
  <c r="V231" i="1" s="1"/>
  <c r="W230" i="1"/>
  <c r="U230" i="1"/>
  <c r="T230" i="1"/>
  <c r="S230" i="1"/>
  <c r="R230" i="1"/>
  <c r="D230" i="1"/>
  <c r="Q230" i="1" s="1"/>
  <c r="V230" i="1" s="1"/>
  <c r="W229" i="1"/>
  <c r="U229" i="1"/>
  <c r="T229" i="1"/>
  <c r="S229" i="1"/>
  <c r="R229" i="1"/>
  <c r="D229" i="1"/>
  <c r="Q229" i="1" s="1"/>
  <c r="V229" i="1" s="1"/>
  <c r="W228" i="1"/>
  <c r="U228" i="1"/>
  <c r="T228" i="1"/>
  <c r="S228" i="1"/>
  <c r="R228" i="1"/>
  <c r="D228" i="1"/>
  <c r="Q228" i="1" s="1"/>
  <c r="V228" i="1" s="1"/>
  <c r="W227" i="1"/>
  <c r="U227" i="1"/>
  <c r="T227" i="1"/>
  <c r="S227" i="1"/>
  <c r="R227" i="1"/>
  <c r="D227" i="1"/>
  <c r="Q227" i="1" s="1"/>
  <c r="V227" i="1" s="1"/>
  <c r="W226" i="1"/>
  <c r="U226" i="1"/>
  <c r="T226" i="1"/>
  <c r="S226" i="1"/>
  <c r="R226" i="1"/>
  <c r="D226" i="1"/>
  <c r="Q226" i="1" s="1"/>
  <c r="V226" i="1" s="1"/>
  <c r="W225" i="1"/>
  <c r="U225" i="1"/>
  <c r="T225" i="1"/>
  <c r="S225" i="1"/>
  <c r="R225" i="1"/>
  <c r="D225" i="1"/>
  <c r="Q225" i="1" s="1"/>
  <c r="V225" i="1" s="1"/>
  <c r="W224" i="1"/>
  <c r="U224" i="1"/>
  <c r="T224" i="1"/>
  <c r="S224" i="1"/>
  <c r="R224" i="1"/>
  <c r="D224" i="1"/>
  <c r="Q224" i="1" s="1"/>
  <c r="V224" i="1" s="1"/>
  <c r="W223" i="1"/>
  <c r="U223" i="1"/>
  <c r="T223" i="1"/>
  <c r="S223" i="1"/>
  <c r="R223" i="1"/>
  <c r="D223" i="1"/>
  <c r="Q223" i="1" s="1"/>
  <c r="V223" i="1" s="1"/>
  <c r="W222" i="1"/>
  <c r="U222" i="1"/>
  <c r="T222" i="1"/>
  <c r="S222" i="1"/>
  <c r="R222" i="1"/>
  <c r="D222" i="1"/>
  <c r="Q222" i="1" s="1"/>
  <c r="V222" i="1" s="1"/>
  <c r="W221" i="1"/>
  <c r="U221" i="1"/>
  <c r="T221" i="1"/>
  <c r="S221" i="1"/>
  <c r="R221" i="1"/>
  <c r="D221" i="1"/>
  <c r="Q221" i="1" s="1"/>
  <c r="V221" i="1" s="1"/>
  <c r="W220" i="1"/>
  <c r="U220" i="1"/>
  <c r="T220" i="1"/>
  <c r="S220" i="1"/>
  <c r="R220" i="1"/>
  <c r="D220" i="1"/>
  <c r="Q220" i="1" s="1"/>
  <c r="V220" i="1" s="1"/>
  <c r="W219" i="1"/>
  <c r="U219" i="1"/>
  <c r="T219" i="1"/>
  <c r="S219" i="1"/>
  <c r="R219" i="1"/>
  <c r="D219" i="1"/>
  <c r="Q219" i="1" s="1"/>
  <c r="V219" i="1" s="1"/>
  <c r="W218" i="1"/>
  <c r="U218" i="1"/>
  <c r="T218" i="1"/>
  <c r="S218" i="1"/>
  <c r="R218" i="1"/>
  <c r="D218" i="1"/>
  <c r="Q218" i="1" s="1"/>
  <c r="V218" i="1" s="1"/>
  <c r="W217" i="1"/>
  <c r="U217" i="1"/>
  <c r="T217" i="1"/>
  <c r="S217" i="1"/>
  <c r="R217" i="1"/>
  <c r="D217" i="1"/>
  <c r="Q217" i="1" s="1"/>
  <c r="V217" i="1" s="1"/>
  <c r="W216" i="1"/>
  <c r="U216" i="1"/>
  <c r="T216" i="1"/>
  <c r="S216" i="1"/>
  <c r="R216" i="1"/>
  <c r="D216" i="1"/>
  <c r="Q216" i="1" s="1"/>
  <c r="V216" i="1" s="1"/>
  <c r="W215" i="1"/>
  <c r="U215" i="1"/>
  <c r="T215" i="1"/>
  <c r="S215" i="1"/>
  <c r="R215" i="1"/>
  <c r="D215" i="1"/>
  <c r="Q215" i="1" s="1"/>
  <c r="V215" i="1" s="1"/>
  <c r="W214" i="1"/>
  <c r="U214" i="1"/>
  <c r="T214" i="1"/>
  <c r="S214" i="1"/>
  <c r="R214" i="1"/>
  <c r="D214" i="1"/>
  <c r="Q214" i="1" s="1"/>
  <c r="V214" i="1" s="1"/>
  <c r="W213" i="1"/>
  <c r="U213" i="1"/>
  <c r="T213" i="1"/>
  <c r="S213" i="1"/>
  <c r="R213" i="1"/>
  <c r="D213" i="1"/>
  <c r="Q213" i="1" s="1"/>
  <c r="V213" i="1" s="1"/>
  <c r="W212" i="1"/>
  <c r="U212" i="1"/>
  <c r="T212" i="1"/>
  <c r="S212" i="1"/>
  <c r="R212" i="1"/>
  <c r="D212" i="1"/>
  <c r="Q212" i="1" s="1"/>
  <c r="V212" i="1" s="1"/>
  <c r="W211" i="1"/>
  <c r="U211" i="1"/>
  <c r="T211" i="1"/>
  <c r="S211" i="1"/>
  <c r="R211" i="1"/>
  <c r="D211" i="1"/>
  <c r="Q211" i="1" s="1"/>
  <c r="V211" i="1" s="1"/>
  <c r="W210" i="1"/>
  <c r="U210" i="1"/>
  <c r="T210" i="1"/>
  <c r="S210" i="1"/>
  <c r="R210" i="1"/>
  <c r="D210" i="1"/>
  <c r="Q210" i="1" s="1"/>
  <c r="V210" i="1" s="1"/>
  <c r="W209" i="1"/>
  <c r="U209" i="1"/>
  <c r="T209" i="1"/>
  <c r="S209" i="1"/>
  <c r="R209" i="1"/>
  <c r="D209" i="1"/>
  <c r="Q209" i="1" s="1"/>
  <c r="V209" i="1" s="1"/>
  <c r="W208" i="1"/>
  <c r="U208" i="1"/>
  <c r="T208" i="1"/>
  <c r="S208" i="1"/>
  <c r="R208" i="1"/>
  <c r="D208" i="1"/>
  <c r="Q208" i="1" s="1"/>
  <c r="V208" i="1" s="1"/>
  <c r="W207" i="1"/>
  <c r="U207" i="1"/>
  <c r="T207" i="1"/>
  <c r="S207" i="1"/>
  <c r="R207" i="1"/>
  <c r="D207" i="1"/>
  <c r="Q207" i="1" s="1"/>
  <c r="V207" i="1" s="1"/>
  <c r="W206" i="1"/>
  <c r="U206" i="1"/>
  <c r="T206" i="1"/>
  <c r="S206" i="1"/>
  <c r="R206" i="1"/>
  <c r="D206" i="1"/>
  <c r="Q206" i="1" s="1"/>
  <c r="V206" i="1" s="1"/>
  <c r="W205" i="1"/>
  <c r="U205" i="1"/>
  <c r="T205" i="1"/>
  <c r="S205" i="1"/>
  <c r="R205" i="1"/>
  <c r="D205" i="1"/>
  <c r="Q205" i="1" s="1"/>
  <c r="V205" i="1" s="1"/>
  <c r="W204" i="1"/>
  <c r="U204" i="1"/>
  <c r="T204" i="1"/>
  <c r="S204" i="1"/>
  <c r="R204" i="1"/>
  <c r="D204" i="1"/>
  <c r="Q204" i="1" s="1"/>
  <c r="V204" i="1" s="1"/>
  <c r="W203" i="1"/>
  <c r="U203" i="1"/>
  <c r="T203" i="1"/>
  <c r="S203" i="1"/>
  <c r="R203" i="1"/>
  <c r="D203" i="1"/>
  <c r="Q203" i="1" s="1"/>
  <c r="V203" i="1" s="1"/>
  <c r="W202" i="1"/>
  <c r="U202" i="1"/>
  <c r="T202" i="1"/>
  <c r="S202" i="1"/>
  <c r="R202" i="1"/>
  <c r="D202" i="1"/>
  <c r="Q202" i="1" s="1"/>
  <c r="V202" i="1" s="1"/>
  <c r="W201" i="1"/>
  <c r="U201" i="1"/>
  <c r="T201" i="1"/>
  <c r="S201" i="1"/>
  <c r="R201" i="1"/>
  <c r="D201" i="1"/>
  <c r="Q201" i="1" s="1"/>
  <c r="V201" i="1" s="1"/>
  <c r="W200" i="1"/>
  <c r="U200" i="1"/>
  <c r="T200" i="1"/>
  <c r="S200" i="1"/>
  <c r="R200" i="1"/>
  <c r="D200" i="1"/>
  <c r="Q200" i="1" s="1"/>
  <c r="V200" i="1" s="1"/>
  <c r="W199" i="1"/>
  <c r="U199" i="1"/>
  <c r="T199" i="1"/>
  <c r="S199" i="1"/>
  <c r="R199" i="1"/>
  <c r="D199" i="1"/>
  <c r="Q199" i="1" s="1"/>
  <c r="V199" i="1" s="1"/>
  <c r="W198" i="1"/>
  <c r="U198" i="1"/>
  <c r="T198" i="1"/>
  <c r="S198" i="1"/>
  <c r="R198" i="1"/>
  <c r="D198" i="1"/>
  <c r="Q198" i="1" s="1"/>
  <c r="V198" i="1" s="1"/>
  <c r="W197" i="1"/>
  <c r="U197" i="1"/>
  <c r="T197" i="1"/>
  <c r="S197" i="1"/>
  <c r="R197" i="1"/>
  <c r="D197" i="1"/>
  <c r="Q197" i="1" s="1"/>
  <c r="V197" i="1" s="1"/>
  <c r="W196" i="1"/>
  <c r="U196" i="1"/>
  <c r="T196" i="1"/>
  <c r="S196" i="1"/>
  <c r="R196" i="1"/>
  <c r="D196" i="1"/>
  <c r="Q196" i="1" s="1"/>
  <c r="V196" i="1" s="1"/>
  <c r="W195" i="1"/>
  <c r="V195" i="1"/>
  <c r="U195" i="1"/>
  <c r="T195" i="1"/>
  <c r="S195" i="1"/>
  <c r="R195" i="1"/>
  <c r="D195" i="1"/>
  <c r="Q195" i="1" s="1"/>
  <c r="W194" i="1"/>
  <c r="U194" i="1"/>
  <c r="T194" i="1"/>
  <c r="S194" i="1"/>
  <c r="R194" i="1"/>
  <c r="D194" i="1"/>
  <c r="Q194" i="1" s="1"/>
  <c r="V194" i="1" s="1"/>
  <c r="W193" i="1"/>
  <c r="V193" i="1"/>
  <c r="U193" i="1"/>
  <c r="T193" i="1"/>
  <c r="S193" i="1"/>
  <c r="R193" i="1"/>
  <c r="D193" i="1"/>
  <c r="Q193" i="1" s="1"/>
  <c r="W192" i="1"/>
  <c r="U192" i="1"/>
  <c r="T192" i="1"/>
  <c r="S192" i="1"/>
  <c r="R192" i="1"/>
  <c r="D192" i="1"/>
  <c r="Q192" i="1" s="1"/>
  <c r="V192" i="1" s="1"/>
  <c r="W191" i="1"/>
  <c r="U191" i="1"/>
  <c r="T191" i="1"/>
  <c r="S191" i="1"/>
  <c r="R191" i="1"/>
  <c r="D191" i="1"/>
  <c r="Q191" i="1" s="1"/>
  <c r="V191" i="1" s="1"/>
  <c r="W190" i="1"/>
  <c r="U190" i="1"/>
  <c r="T190" i="1"/>
  <c r="S190" i="1"/>
  <c r="R190" i="1"/>
  <c r="D190" i="1"/>
  <c r="Q190" i="1" s="1"/>
  <c r="V190" i="1" s="1"/>
  <c r="W189" i="1"/>
  <c r="V189" i="1"/>
  <c r="U189" i="1"/>
  <c r="T189" i="1"/>
  <c r="S189" i="1"/>
  <c r="R189" i="1"/>
  <c r="D189" i="1"/>
  <c r="Q189" i="1" s="1"/>
  <c r="W188" i="1"/>
  <c r="V188" i="1"/>
  <c r="U188" i="1"/>
  <c r="T188" i="1"/>
  <c r="S188" i="1"/>
  <c r="R188" i="1"/>
  <c r="D188" i="1"/>
  <c r="Q188" i="1" s="1"/>
  <c r="W187" i="1"/>
  <c r="V187" i="1"/>
  <c r="U187" i="1"/>
  <c r="T187" i="1"/>
  <c r="S187" i="1"/>
  <c r="R187" i="1"/>
  <c r="D187" i="1"/>
  <c r="Q187" i="1" s="1"/>
  <c r="W186" i="1"/>
  <c r="U186" i="1"/>
  <c r="T186" i="1"/>
  <c r="S186" i="1"/>
  <c r="R186" i="1"/>
  <c r="D186" i="1"/>
  <c r="Q186" i="1" s="1"/>
  <c r="V186" i="1" s="1"/>
  <c r="W185" i="1"/>
  <c r="V185" i="1"/>
  <c r="U185" i="1"/>
  <c r="T185" i="1"/>
  <c r="S185" i="1"/>
  <c r="R185" i="1"/>
  <c r="D185" i="1"/>
  <c r="Q185" i="1" s="1"/>
  <c r="W184" i="1"/>
  <c r="U184" i="1"/>
  <c r="T184" i="1"/>
  <c r="S184" i="1"/>
  <c r="R184" i="1"/>
  <c r="D184" i="1"/>
  <c r="Q184" i="1" s="1"/>
  <c r="V184" i="1" s="1"/>
  <c r="W183" i="1"/>
  <c r="U183" i="1"/>
  <c r="T183" i="1"/>
  <c r="S183" i="1"/>
  <c r="R183" i="1"/>
  <c r="D183" i="1"/>
  <c r="Q183" i="1" s="1"/>
  <c r="V183" i="1" s="1"/>
  <c r="W182" i="1"/>
  <c r="U182" i="1"/>
  <c r="T182" i="1"/>
  <c r="S182" i="1"/>
  <c r="R182" i="1"/>
  <c r="D182" i="1"/>
  <c r="Q182" i="1" s="1"/>
  <c r="V182" i="1" s="1"/>
  <c r="W181" i="1"/>
  <c r="V181" i="1"/>
  <c r="U181" i="1"/>
  <c r="T181" i="1"/>
  <c r="S181" i="1"/>
  <c r="R181" i="1"/>
  <c r="D181" i="1"/>
  <c r="Q181" i="1" s="1"/>
  <c r="W180" i="1"/>
  <c r="V180" i="1"/>
  <c r="U180" i="1"/>
  <c r="T180" i="1"/>
  <c r="S180" i="1"/>
  <c r="R180" i="1"/>
  <c r="D180" i="1"/>
  <c r="Q180" i="1" s="1"/>
  <c r="W179" i="1"/>
  <c r="V179" i="1"/>
  <c r="U179" i="1"/>
  <c r="T179" i="1"/>
  <c r="S179" i="1"/>
  <c r="R179" i="1"/>
  <c r="D179" i="1"/>
  <c r="Q179" i="1" s="1"/>
  <c r="W178" i="1"/>
  <c r="U178" i="1"/>
  <c r="T178" i="1"/>
  <c r="S178" i="1"/>
  <c r="R178" i="1"/>
  <c r="D178" i="1"/>
  <c r="Q178" i="1" s="1"/>
  <c r="V178" i="1" s="1"/>
  <c r="W177" i="1"/>
  <c r="V177" i="1"/>
  <c r="U177" i="1"/>
  <c r="T177" i="1"/>
  <c r="S177" i="1"/>
  <c r="R177" i="1"/>
  <c r="D177" i="1"/>
  <c r="Q177" i="1" s="1"/>
  <c r="W176" i="1"/>
  <c r="U176" i="1"/>
  <c r="T176" i="1"/>
  <c r="S176" i="1"/>
  <c r="R176" i="1"/>
  <c r="D176" i="1"/>
  <c r="Q176" i="1" s="1"/>
  <c r="V176" i="1" s="1"/>
  <c r="W175" i="1"/>
  <c r="U175" i="1"/>
  <c r="T175" i="1"/>
  <c r="S175" i="1"/>
  <c r="R175" i="1"/>
  <c r="D175" i="1"/>
  <c r="Q175" i="1" s="1"/>
  <c r="V175" i="1" s="1"/>
  <c r="W174" i="1"/>
  <c r="U174" i="1"/>
  <c r="T174" i="1"/>
  <c r="S174" i="1"/>
  <c r="R174" i="1"/>
  <c r="D174" i="1"/>
  <c r="Q174" i="1" s="1"/>
  <c r="V174" i="1" s="1"/>
  <c r="W173" i="1"/>
  <c r="V173" i="1"/>
  <c r="U173" i="1"/>
  <c r="T173" i="1"/>
  <c r="S173" i="1"/>
  <c r="R173" i="1"/>
  <c r="D173" i="1"/>
  <c r="Q173" i="1" s="1"/>
  <c r="W172" i="1"/>
  <c r="V172" i="1"/>
  <c r="U172" i="1"/>
  <c r="T172" i="1"/>
  <c r="S172" i="1"/>
  <c r="R172" i="1"/>
  <c r="D172" i="1"/>
  <c r="Q172" i="1" s="1"/>
  <c r="W171" i="1"/>
  <c r="V171" i="1"/>
  <c r="U171" i="1"/>
  <c r="T171" i="1"/>
  <c r="S171" i="1"/>
  <c r="R171" i="1"/>
  <c r="D171" i="1"/>
  <c r="Q171" i="1" s="1"/>
  <c r="W170" i="1"/>
  <c r="U170" i="1"/>
  <c r="T170" i="1"/>
  <c r="S170" i="1"/>
  <c r="R170" i="1"/>
  <c r="D170" i="1"/>
  <c r="Q170" i="1" s="1"/>
  <c r="V170" i="1" s="1"/>
  <c r="W169" i="1"/>
  <c r="V169" i="1"/>
  <c r="U169" i="1"/>
  <c r="T169" i="1"/>
  <c r="S169" i="1"/>
  <c r="R169" i="1"/>
  <c r="D169" i="1"/>
  <c r="Q169" i="1" s="1"/>
  <c r="W168" i="1"/>
  <c r="U168" i="1"/>
  <c r="T168" i="1"/>
  <c r="S168" i="1"/>
  <c r="R168" i="1"/>
  <c r="D168" i="1"/>
  <c r="Q168" i="1" s="1"/>
  <c r="V168" i="1" s="1"/>
  <c r="W167" i="1"/>
  <c r="U167" i="1"/>
  <c r="T167" i="1"/>
  <c r="S167" i="1"/>
  <c r="R167" i="1"/>
  <c r="D167" i="1"/>
  <c r="Q167" i="1" s="1"/>
  <c r="V167" i="1" s="1"/>
  <c r="W166" i="1"/>
  <c r="U166" i="1"/>
  <c r="T166" i="1"/>
  <c r="S166" i="1"/>
  <c r="R166" i="1"/>
  <c r="D166" i="1"/>
  <c r="Q166" i="1" s="1"/>
  <c r="V166" i="1" s="1"/>
  <c r="W165" i="1"/>
  <c r="V165" i="1"/>
  <c r="U165" i="1"/>
  <c r="T165" i="1"/>
  <c r="S165" i="1"/>
  <c r="R165" i="1"/>
  <c r="D165" i="1"/>
  <c r="Q165" i="1" s="1"/>
  <c r="W164" i="1"/>
  <c r="V164" i="1"/>
  <c r="U164" i="1"/>
  <c r="T164" i="1"/>
  <c r="S164" i="1"/>
  <c r="R164" i="1"/>
  <c r="D164" i="1"/>
  <c r="Q164" i="1" s="1"/>
  <c r="W163" i="1"/>
  <c r="V163" i="1"/>
  <c r="U163" i="1"/>
  <c r="T163" i="1"/>
  <c r="S163" i="1"/>
  <c r="R163" i="1"/>
  <c r="D163" i="1"/>
  <c r="Q163" i="1" s="1"/>
  <c r="W162" i="1"/>
  <c r="U162" i="1"/>
  <c r="T162" i="1"/>
  <c r="S162" i="1"/>
  <c r="R162" i="1"/>
  <c r="D162" i="1"/>
  <c r="Q162" i="1" s="1"/>
  <c r="V162" i="1" s="1"/>
  <c r="W161" i="1"/>
  <c r="V161" i="1"/>
  <c r="U161" i="1"/>
  <c r="T161" i="1"/>
  <c r="S161" i="1"/>
  <c r="R161" i="1"/>
  <c r="D161" i="1"/>
  <c r="Q161" i="1" s="1"/>
  <c r="W160" i="1"/>
  <c r="U160" i="1"/>
  <c r="T160" i="1"/>
  <c r="S160" i="1"/>
  <c r="R160" i="1"/>
  <c r="D160" i="1"/>
  <c r="Q160" i="1" s="1"/>
  <c r="V160" i="1" s="1"/>
  <c r="W159" i="1"/>
  <c r="U159" i="1"/>
  <c r="T159" i="1"/>
  <c r="S159" i="1"/>
  <c r="R159" i="1"/>
  <c r="D159" i="1"/>
  <c r="Q159" i="1" s="1"/>
  <c r="V159" i="1" s="1"/>
  <c r="W158" i="1"/>
  <c r="U158" i="1"/>
  <c r="T158" i="1"/>
  <c r="S158" i="1"/>
  <c r="R158" i="1"/>
  <c r="D158" i="1"/>
  <c r="Q158" i="1" s="1"/>
  <c r="V158" i="1" s="1"/>
  <c r="W157" i="1"/>
  <c r="V157" i="1"/>
  <c r="U157" i="1"/>
  <c r="T157" i="1"/>
  <c r="S157" i="1"/>
  <c r="R157" i="1"/>
  <c r="D157" i="1"/>
  <c r="Q157" i="1" s="1"/>
  <c r="W156" i="1"/>
  <c r="V156" i="1"/>
  <c r="U156" i="1"/>
  <c r="T156" i="1"/>
  <c r="S156" i="1"/>
  <c r="R156" i="1"/>
  <c r="D156" i="1"/>
  <c r="Q156" i="1" s="1"/>
  <c r="W155" i="1"/>
  <c r="V155" i="1"/>
  <c r="U155" i="1"/>
  <c r="T155" i="1"/>
  <c r="S155" i="1"/>
  <c r="R155" i="1"/>
  <c r="D155" i="1"/>
  <c r="Q155" i="1" s="1"/>
  <c r="W154" i="1"/>
  <c r="U154" i="1"/>
  <c r="T154" i="1"/>
  <c r="S154" i="1"/>
  <c r="R154" i="1"/>
  <c r="D154" i="1"/>
  <c r="Q154" i="1" s="1"/>
  <c r="V154" i="1" s="1"/>
  <c r="W153" i="1"/>
  <c r="V153" i="1"/>
  <c r="U153" i="1"/>
  <c r="T153" i="1"/>
  <c r="S153" i="1"/>
  <c r="R153" i="1"/>
  <c r="D153" i="1"/>
  <c r="Q153" i="1" s="1"/>
  <c r="W152" i="1"/>
  <c r="U152" i="1"/>
  <c r="T152" i="1"/>
  <c r="S152" i="1"/>
  <c r="R152" i="1"/>
  <c r="D152" i="1"/>
  <c r="Q152" i="1" s="1"/>
  <c r="V152" i="1" s="1"/>
  <c r="W151" i="1"/>
  <c r="U151" i="1"/>
  <c r="T151" i="1"/>
  <c r="S151" i="1"/>
  <c r="R151" i="1"/>
  <c r="D151" i="1"/>
  <c r="Q151" i="1" s="1"/>
  <c r="V151" i="1" s="1"/>
  <c r="W150" i="1"/>
  <c r="U150" i="1"/>
  <c r="T150" i="1"/>
  <c r="S150" i="1"/>
  <c r="R150" i="1"/>
  <c r="D150" i="1"/>
  <c r="Q150" i="1" s="1"/>
  <c r="V150" i="1" s="1"/>
  <c r="W149" i="1"/>
  <c r="V149" i="1"/>
  <c r="U149" i="1"/>
  <c r="T149" i="1"/>
  <c r="S149" i="1"/>
  <c r="R149" i="1"/>
  <c r="D149" i="1"/>
  <c r="Q149" i="1" s="1"/>
  <c r="W148" i="1"/>
  <c r="V148" i="1"/>
  <c r="U148" i="1"/>
  <c r="T148" i="1"/>
  <c r="S148" i="1"/>
  <c r="R148" i="1"/>
  <c r="D148" i="1"/>
  <c r="Q148" i="1" s="1"/>
  <c r="W147" i="1"/>
  <c r="V147" i="1"/>
  <c r="U147" i="1"/>
  <c r="T147" i="1"/>
  <c r="S147" i="1"/>
  <c r="R147" i="1"/>
  <c r="D147" i="1"/>
  <c r="Q147" i="1" s="1"/>
  <c r="W146" i="1"/>
  <c r="U146" i="1"/>
  <c r="T146" i="1"/>
  <c r="S146" i="1"/>
  <c r="R146" i="1"/>
  <c r="D146" i="1"/>
  <c r="Q146" i="1" s="1"/>
  <c r="V146" i="1" s="1"/>
  <c r="W145" i="1"/>
  <c r="V145" i="1"/>
  <c r="U145" i="1"/>
  <c r="T145" i="1"/>
  <c r="S145" i="1"/>
  <c r="R145" i="1"/>
  <c r="D145" i="1"/>
  <c r="Q145" i="1" s="1"/>
  <c r="W144" i="1"/>
  <c r="U144" i="1"/>
  <c r="T144" i="1"/>
  <c r="S144" i="1"/>
  <c r="R144" i="1"/>
  <c r="D144" i="1"/>
  <c r="Q144" i="1" s="1"/>
  <c r="V144" i="1" s="1"/>
  <c r="W143" i="1"/>
  <c r="U143" i="1"/>
  <c r="T143" i="1"/>
  <c r="S143" i="1"/>
  <c r="R143" i="1"/>
  <c r="D143" i="1"/>
  <c r="Q143" i="1" s="1"/>
  <c r="V143" i="1" s="1"/>
  <c r="W142" i="1"/>
  <c r="U142" i="1"/>
  <c r="T142" i="1"/>
  <c r="S142" i="1"/>
  <c r="R142" i="1"/>
  <c r="D142" i="1"/>
  <c r="Q142" i="1" s="1"/>
  <c r="V142" i="1" s="1"/>
  <c r="W141" i="1"/>
  <c r="V141" i="1"/>
  <c r="U141" i="1"/>
  <c r="T141" i="1"/>
  <c r="S141" i="1"/>
  <c r="R141" i="1"/>
  <c r="D141" i="1"/>
  <c r="Q141" i="1" s="1"/>
  <c r="W140" i="1"/>
  <c r="V140" i="1"/>
  <c r="U140" i="1"/>
  <c r="T140" i="1"/>
  <c r="S140" i="1"/>
  <c r="R140" i="1"/>
  <c r="D140" i="1"/>
  <c r="Q140" i="1" s="1"/>
  <c r="W139" i="1"/>
  <c r="V139" i="1"/>
  <c r="U139" i="1"/>
  <c r="T139" i="1"/>
  <c r="S139" i="1"/>
  <c r="R139" i="1"/>
  <c r="D139" i="1"/>
  <c r="Q139" i="1" s="1"/>
  <c r="W138" i="1"/>
  <c r="U138" i="1"/>
  <c r="T138" i="1"/>
  <c r="S138" i="1"/>
  <c r="R138" i="1"/>
  <c r="D138" i="1"/>
  <c r="Q138" i="1" s="1"/>
  <c r="V138" i="1" s="1"/>
  <c r="W137" i="1"/>
  <c r="V137" i="1"/>
  <c r="U137" i="1"/>
  <c r="T137" i="1"/>
  <c r="S137" i="1"/>
  <c r="R137" i="1"/>
  <c r="D137" i="1"/>
  <c r="Q137" i="1" s="1"/>
  <c r="W136" i="1"/>
  <c r="U136" i="1"/>
  <c r="T136" i="1"/>
  <c r="S136" i="1"/>
  <c r="R136" i="1"/>
  <c r="D136" i="1"/>
  <c r="Q136" i="1" s="1"/>
  <c r="V136" i="1" s="1"/>
  <c r="W135" i="1"/>
  <c r="U135" i="1"/>
  <c r="T135" i="1"/>
  <c r="S135" i="1"/>
  <c r="R135" i="1"/>
  <c r="D135" i="1"/>
  <c r="Q135" i="1" s="1"/>
  <c r="V135" i="1" s="1"/>
  <c r="W134" i="1"/>
  <c r="U134" i="1"/>
  <c r="T134" i="1"/>
  <c r="S134" i="1"/>
  <c r="R134" i="1"/>
  <c r="D134" i="1"/>
  <c r="Q134" i="1" s="1"/>
  <c r="V134" i="1" s="1"/>
  <c r="W133" i="1"/>
  <c r="V133" i="1"/>
  <c r="U133" i="1"/>
  <c r="T133" i="1"/>
  <c r="S133" i="1"/>
  <c r="R133" i="1"/>
  <c r="D133" i="1"/>
  <c r="Q133" i="1" s="1"/>
  <c r="W132" i="1"/>
  <c r="V132" i="1"/>
  <c r="U132" i="1"/>
  <c r="T132" i="1"/>
  <c r="S132" i="1"/>
  <c r="R132" i="1"/>
  <c r="D132" i="1"/>
  <c r="Q132" i="1" s="1"/>
  <c r="W131" i="1"/>
  <c r="V131" i="1"/>
  <c r="U131" i="1"/>
  <c r="T131" i="1"/>
  <c r="S131" i="1"/>
  <c r="R131" i="1"/>
  <c r="D131" i="1"/>
  <c r="Q131" i="1" s="1"/>
  <c r="W130" i="1"/>
  <c r="U130" i="1"/>
  <c r="T130" i="1"/>
  <c r="S130" i="1"/>
  <c r="R130" i="1"/>
  <c r="D130" i="1"/>
  <c r="Q130" i="1" s="1"/>
  <c r="V130" i="1" s="1"/>
  <c r="W129" i="1"/>
  <c r="V129" i="1"/>
  <c r="U129" i="1"/>
  <c r="T129" i="1"/>
  <c r="S129" i="1"/>
  <c r="R129" i="1"/>
  <c r="D129" i="1"/>
  <c r="Q129" i="1" s="1"/>
  <c r="W128" i="1"/>
  <c r="U128" i="1"/>
  <c r="T128" i="1"/>
  <c r="S128" i="1"/>
  <c r="R128" i="1"/>
  <c r="D128" i="1"/>
  <c r="Q128" i="1" s="1"/>
  <c r="V128" i="1" s="1"/>
  <c r="W127" i="1"/>
  <c r="U127" i="1"/>
  <c r="T127" i="1"/>
  <c r="S127" i="1"/>
  <c r="R127" i="1"/>
  <c r="D127" i="1"/>
  <c r="Q127" i="1" s="1"/>
  <c r="V127" i="1" s="1"/>
  <c r="W126" i="1"/>
  <c r="U126" i="1"/>
  <c r="T126" i="1"/>
  <c r="S126" i="1"/>
  <c r="R126" i="1"/>
  <c r="D126" i="1"/>
  <c r="Q126" i="1" s="1"/>
  <c r="V126" i="1" s="1"/>
  <c r="W125" i="1"/>
  <c r="V125" i="1"/>
  <c r="U125" i="1"/>
  <c r="T125" i="1"/>
  <c r="S125" i="1"/>
  <c r="R125" i="1"/>
  <c r="D125" i="1"/>
  <c r="Q125" i="1" s="1"/>
  <c r="W124" i="1"/>
  <c r="V124" i="1"/>
  <c r="U124" i="1"/>
  <c r="T124" i="1"/>
  <c r="S124" i="1"/>
  <c r="R124" i="1"/>
  <c r="D124" i="1"/>
  <c r="Q124" i="1" s="1"/>
  <c r="W123" i="1"/>
  <c r="V123" i="1"/>
  <c r="U123" i="1"/>
  <c r="T123" i="1"/>
  <c r="S123" i="1"/>
  <c r="R123" i="1"/>
  <c r="D123" i="1"/>
  <c r="Q123" i="1" s="1"/>
  <c r="W122" i="1"/>
  <c r="U122" i="1"/>
  <c r="T122" i="1"/>
  <c r="S122" i="1"/>
  <c r="R122" i="1"/>
  <c r="D122" i="1"/>
  <c r="Q122" i="1" s="1"/>
  <c r="V122" i="1" s="1"/>
  <c r="W121" i="1"/>
  <c r="V121" i="1"/>
  <c r="U121" i="1"/>
  <c r="T121" i="1"/>
  <c r="S121" i="1"/>
  <c r="R121" i="1"/>
  <c r="D121" i="1"/>
  <c r="Q121" i="1" s="1"/>
  <c r="W120" i="1"/>
  <c r="U120" i="1"/>
  <c r="T120" i="1"/>
  <c r="S120" i="1"/>
  <c r="R120" i="1"/>
  <c r="D120" i="1"/>
  <c r="Q120" i="1" s="1"/>
  <c r="V120" i="1" s="1"/>
  <c r="W119" i="1"/>
  <c r="U119" i="1"/>
  <c r="T119" i="1"/>
  <c r="S119" i="1"/>
  <c r="R119" i="1"/>
  <c r="D119" i="1"/>
  <c r="Q119" i="1" s="1"/>
  <c r="V119" i="1" s="1"/>
  <c r="W118" i="1"/>
  <c r="U118" i="1"/>
  <c r="T118" i="1"/>
  <c r="S118" i="1"/>
  <c r="R118" i="1"/>
  <c r="D118" i="1"/>
  <c r="Q118" i="1" s="1"/>
  <c r="V118" i="1" s="1"/>
  <c r="W117" i="1"/>
  <c r="V117" i="1"/>
  <c r="U117" i="1"/>
  <c r="T117" i="1"/>
  <c r="S117" i="1"/>
  <c r="R117" i="1"/>
  <c r="D117" i="1"/>
  <c r="Q117" i="1" s="1"/>
  <c r="W116" i="1"/>
  <c r="V116" i="1"/>
  <c r="U116" i="1"/>
  <c r="T116" i="1"/>
  <c r="S116" i="1"/>
  <c r="R116" i="1"/>
  <c r="D116" i="1"/>
  <c r="Q116" i="1" s="1"/>
  <c r="W115" i="1"/>
  <c r="V115" i="1"/>
  <c r="U115" i="1"/>
  <c r="T115" i="1"/>
  <c r="S115" i="1"/>
  <c r="R115" i="1"/>
  <c r="D115" i="1"/>
  <c r="Q115" i="1" s="1"/>
  <c r="W114" i="1"/>
  <c r="U114" i="1"/>
  <c r="T114" i="1"/>
  <c r="S114" i="1"/>
  <c r="R114" i="1"/>
  <c r="D114" i="1"/>
  <c r="Q114" i="1" s="1"/>
  <c r="V114" i="1" s="1"/>
  <c r="W113" i="1"/>
  <c r="V113" i="1"/>
  <c r="U113" i="1"/>
  <c r="T113" i="1"/>
  <c r="S113" i="1"/>
  <c r="R113" i="1"/>
  <c r="D113" i="1"/>
  <c r="Q113" i="1" s="1"/>
  <c r="W112" i="1"/>
  <c r="U112" i="1"/>
  <c r="T112" i="1"/>
  <c r="S112" i="1"/>
  <c r="R112" i="1"/>
  <c r="D112" i="1"/>
  <c r="Q112" i="1" s="1"/>
  <c r="V112" i="1" s="1"/>
  <c r="W111" i="1"/>
  <c r="U111" i="1"/>
  <c r="T111" i="1"/>
  <c r="S111" i="1"/>
  <c r="R111" i="1"/>
  <c r="D111" i="1"/>
  <c r="Q111" i="1" s="1"/>
  <c r="V111" i="1" s="1"/>
  <c r="W110" i="1"/>
  <c r="U110" i="1"/>
  <c r="T110" i="1"/>
  <c r="S110" i="1"/>
  <c r="R110" i="1"/>
  <c r="D110" i="1"/>
  <c r="Q110" i="1" s="1"/>
  <c r="V110" i="1" s="1"/>
  <c r="W109" i="1"/>
  <c r="V109" i="1"/>
  <c r="U109" i="1"/>
  <c r="T109" i="1"/>
  <c r="S109" i="1"/>
  <c r="R109" i="1"/>
  <c r="D109" i="1"/>
  <c r="Q109" i="1" s="1"/>
  <c r="W108" i="1"/>
  <c r="V108" i="1"/>
  <c r="U108" i="1"/>
  <c r="T108" i="1"/>
  <c r="S108" i="1"/>
  <c r="R108" i="1"/>
  <c r="D108" i="1"/>
  <c r="Q108" i="1" s="1"/>
  <c r="W107" i="1"/>
  <c r="V107" i="1"/>
  <c r="U107" i="1"/>
  <c r="T107" i="1"/>
  <c r="S107" i="1"/>
  <c r="R107" i="1"/>
  <c r="D107" i="1"/>
  <c r="Q107" i="1" s="1"/>
  <c r="W106" i="1"/>
  <c r="U106" i="1"/>
  <c r="T106" i="1"/>
  <c r="S106" i="1"/>
  <c r="R106" i="1"/>
  <c r="D106" i="1"/>
  <c r="Q106" i="1" s="1"/>
  <c r="V106" i="1" s="1"/>
  <c r="W105" i="1"/>
  <c r="V105" i="1"/>
  <c r="U105" i="1"/>
  <c r="T105" i="1"/>
  <c r="S105" i="1"/>
  <c r="R105" i="1"/>
  <c r="D105" i="1"/>
  <c r="Q105" i="1" s="1"/>
  <c r="W104" i="1"/>
  <c r="U104" i="1"/>
  <c r="T104" i="1"/>
  <c r="S104" i="1"/>
  <c r="R104" i="1"/>
  <c r="D104" i="1"/>
  <c r="Q104" i="1" s="1"/>
  <c r="V104" i="1" s="1"/>
  <c r="W103" i="1"/>
  <c r="U103" i="1"/>
  <c r="T103" i="1"/>
  <c r="S103" i="1"/>
  <c r="R103" i="1"/>
  <c r="D103" i="1"/>
  <c r="Q103" i="1" s="1"/>
  <c r="V103" i="1" s="1"/>
  <c r="W102" i="1"/>
  <c r="U102" i="1"/>
  <c r="T102" i="1"/>
  <c r="S102" i="1"/>
  <c r="R102" i="1"/>
  <c r="D102" i="1"/>
  <c r="Q102" i="1" s="1"/>
  <c r="V102" i="1" s="1"/>
  <c r="W101" i="1"/>
  <c r="V101" i="1"/>
  <c r="U101" i="1"/>
  <c r="T101" i="1"/>
  <c r="S101" i="1"/>
  <c r="R101" i="1"/>
  <c r="D101" i="1"/>
  <c r="Q101" i="1" s="1"/>
  <c r="W100" i="1"/>
  <c r="V100" i="1"/>
  <c r="U100" i="1"/>
  <c r="T100" i="1"/>
  <c r="S100" i="1"/>
  <c r="R100" i="1"/>
  <c r="D100" i="1"/>
  <c r="Q100" i="1" s="1"/>
  <c r="W99" i="1"/>
  <c r="V99" i="1"/>
  <c r="U99" i="1"/>
  <c r="T99" i="1"/>
  <c r="S99" i="1"/>
  <c r="R99" i="1"/>
  <c r="D99" i="1"/>
  <c r="Q99" i="1" s="1"/>
  <c r="W98" i="1"/>
  <c r="U98" i="1"/>
  <c r="T98" i="1"/>
  <c r="S98" i="1"/>
  <c r="R98" i="1"/>
  <c r="D98" i="1"/>
  <c r="Q98" i="1" s="1"/>
  <c r="V98" i="1" s="1"/>
  <c r="W97" i="1"/>
  <c r="V97" i="1"/>
  <c r="U97" i="1"/>
  <c r="T97" i="1"/>
  <c r="S97" i="1"/>
  <c r="R97" i="1"/>
  <c r="D97" i="1"/>
  <c r="Q97" i="1" s="1"/>
  <c r="W96" i="1"/>
  <c r="U96" i="1"/>
  <c r="T96" i="1"/>
  <c r="S96" i="1"/>
  <c r="R96" i="1"/>
  <c r="D96" i="1"/>
  <c r="Q96" i="1" s="1"/>
  <c r="V96" i="1" s="1"/>
  <c r="W95" i="1"/>
  <c r="U95" i="1"/>
  <c r="T95" i="1"/>
  <c r="S95" i="1"/>
  <c r="R95" i="1"/>
  <c r="D95" i="1"/>
  <c r="Q95" i="1" s="1"/>
  <c r="V95" i="1" s="1"/>
  <c r="W94" i="1"/>
  <c r="U94" i="1"/>
  <c r="T94" i="1"/>
  <c r="S94" i="1"/>
  <c r="R94" i="1"/>
  <c r="D94" i="1"/>
  <c r="Q94" i="1" s="1"/>
  <c r="V94" i="1" s="1"/>
  <c r="W93" i="1"/>
  <c r="V93" i="1"/>
  <c r="U93" i="1"/>
  <c r="T93" i="1"/>
  <c r="S93" i="1"/>
  <c r="R93" i="1"/>
  <c r="D93" i="1"/>
  <c r="Q93" i="1" s="1"/>
  <c r="W92" i="1"/>
  <c r="V92" i="1"/>
  <c r="U92" i="1"/>
  <c r="T92" i="1"/>
  <c r="S92" i="1"/>
  <c r="R92" i="1"/>
  <c r="D92" i="1"/>
  <c r="Q92" i="1" s="1"/>
  <c r="W91" i="1"/>
  <c r="V91" i="1"/>
  <c r="U91" i="1"/>
  <c r="T91" i="1"/>
  <c r="S91" i="1"/>
  <c r="R91" i="1"/>
  <c r="D91" i="1"/>
  <c r="Q91" i="1" s="1"/>
  <c r="W90" i="1"/>
  <c r="U90" i="1"/>
  <c r="T90" i="1"/>
  <c r="S90" i="1"/>
  <c r="R90" i="1"/>
  <c r="D90" i="1"/>
  <c r="Q90" i="1" s="1"/>
  <c r="V90" i="1" s="1"/>
  <c r="W89" i="1"/>
  <c r="V89" i="1"/>
  <c r="U89" i="1"/>
  <c r="T89" i="1"/>
  <c r="S89" i="1"/>
  <c r="R89" i="1"/>
  <c r="D89" i="1"/>
  <c r="Q89" i="1" s="1"/>
  <c r="W88" i="1"/>
  <c r="U88" i="1"/>
  <c r="T88" i="1"/>
  <c r="S88" i="1"/>
  <c r="R88" i="1"/>
  <c r="D88" i="1"/>
  <c r="Q88" i="1" s="1"/>
  <c r="V88" i="1" s="1"/>
  <c r="W87" i="1"/>
  <c r="U87" i="1"/>
  <c r="T87" i="1"/>
  <c r="S87" i="1"/>
  <c r="R87" i="1"/>
  <c r="D87" i="1"/>
  <c r="Q87" i="1" s="1"/>
  <c r="V87" i="1" s="1"/>
  <c r="W86" i="1"/>
  <c r="U86" i="1"/>
  <c r="T86" i="1"/>
  <c r="S86" i="1"/>
  <c r="R86" i="1"/>
  <c r="D86" i="1"/>
  <c r="Q86" i="1" s="1"/>
  <c r="V86" i="1" s="1"/>
  <c r="W85" i="1"/>
  <c r="V85" i="1"/>
  <c r="U85" i="1"/>
  <c r="T85" i="1"/>
  <c r="S85" i="1"/>
  <c r="R85" i="1"/>
  <c r="D85" i="1"/>
  <c r="Q85" i="1" s="1"/>
  <c r="W84" i="1"/>
  <c r="V84" i="1"/>
  <c r="U84" i="1"/>
  <c r="T84" i="1"/>
  <c r="S84" i="1"/>
  <c r="R84" i="1"/>
  <c r="D84" i="1"/>
  <c r="Q84" i="1" s="1"/>
  <c r="W83" i="1"/>
  <c r="V83" i="1"/>
  <c r="U83" i="1"/>
  <c r="T83" i="1"/>
  <c r="S83" i="1"/>
  <c r="R83" i="1"/>
  <c r="D83" i="1"/>
  <c r="Q83" i="1" s="1"/>
  <c r="W82" i="1"/>
  <c r="U82" i="1"/>
  <c r="T82" i="1"/>
  <c r="S82" i="1"/>
  <c r="R82" i="1"/>
  <c r="D82" i="1"/>
  <c r="Q82" i="1" s="1"/>
  <c r="V82" i="1" s="1"/>
  <c r="W81" i="1"/>
  <c r="V81" i="1"/>
  <c r="U81" i="1"/>
  <c r="T81" i="1"/>
  <c r="S81" i="1"/>
  <c r="R81" i="1"/>
  <c r="D81" i="1"/>
  <c r="Q81" i="1" s="1"/>
  <c r="W80" i="1"/>
  <c r="U80" i="1"/>
  <c r="T80" i="1"/>
  <c r="S80" i="1"/>
  <c r="R80" i="1"/>
  <c r="D80" i="1"/>
  <c r="Q80" i="1" s="1"/>
  <c r="V80" i="1" s="1"/>
  <c r="W79" i="1"/>
  <c r="U79" i="1"/>
  <c r="T79" i="1"/>
  <c r="S79" i="1"/>
  <c r="R79" i="1"/>
  <c r="D79" i="1"/>
  <c r="Q79" i="1" s="1"/>
  <c r="V79" i="1" s="1"/>
  <c r="W78" i="1"/>
  <c r="U78" i="1"/>
  <c r="T78" i="1"/>
  <c r="S78" i="1"/>
  <c r="R78" i="1"/>
  <c r="D78" i="1"/>
  <c r="Q78" i="1" s="1"/>
  <c r="V78" i="1" s="1"/>
  <c r="W77" i="1"/>
  <c r="V77" i="1"/>
  <c r="U77" i="1"/>
  <c r="T77" i="1"/>
  <c r="S77" i="1"/>
  <c r="R77" i="1"/>
  <c r="D77" i="1"/>
  <c r="Q77" i="1" s="1"/>
  <c r="W76" i="1"/>
  <c r="V76" i="1"/>
  <c r="U76" i="1"/>
  <c r="T76" i="1"/>
  <c r="S76" i="1"/>
  <c r="R76" i="1"/>
  <c r="D76" i="1"/>
  <c r="Q76" i="1" s="1"/>
  <c r="W75" i="1"/>
  <c r="V75" i="1"/>
  <c r="U75" i="1"/>
  <c r="T75" i="1"/>
  <c r="S75" i="1"/>
  <c r="R75" i="1"/>
  <c r="D75" i="1"/>
  <c r="Q75" i="1" s="1"/>
  <c r="W74" i="1"/>
  <c r="U74" i="1"/>
  <c r="T74" i="1"/>
  <c r="S74" i="1"/>
  <c r="R74" i="1"/>
  <c r="D74" i="1"/>
  <c r="Q74" i="1" s="1"/>
  <c r="V74" i="1" s="1"/>
  <c r="W73" i="1"/>
  <c r="V73" i="1"/>
  <c r="U73" i="1"/>
  <c r="T73" i="1"/>
  <c r="S73" i="1"/>
  <c r="R73" i="1"/>
  <c r="D73" i="1"/>
  <c r="Q73" i="1" s="1"/>
  <c r="W72" i="1"/>
  <c r="U72" i="1"/>
  <c r="T72" i="1"/>
  <c r="S72" i="1"/>
  <c r="R72" i="1"/>
  <c r="D72" i="1"/>
  <c r="Q72" i="1" s="1"/>
  <c r="V72" i="1" s="1"/>
  <c r="W71" i="1"/>
  <c r="U71" i="1"/>
  <c r="T71" i="1"/>
  <c r="S71" i="1"/>
  <c r="R71" i="1"/>
  <c r="D71" i="1"/>
  <c r="Q71" i="1" s="1"/>
  <c r="V71" i="1" s="1"/>
  <c r="W70" i="1"/>
  <c r="U70" i="1"/>
  <c r="T70" i="1"/>
  <c r="S70" i="1"/>
  <c r="R70" i="1"/>
  <c r="D70" i="1"/>
  <c r="Q70" i="1" s="1"/>
  <c r="V70" i="1" s="1"/>
  <c r="W69" i="1"/>
  <c r="V69" i="1"/>
  <c r="U69" i="1"/>
  <c r="T69" i="1"/>
  <c r="S69" i="1"/>
  <c r="R69" i="1"/>
  <c r="D69" i="1"/>
  <c r="Q69" i="1" s="1"/>
  <c r="W68" i="1"/>
  <c r="V68" i="1"/>
  <c r="U68" i="1"/>
  <c r="T68" i="1"/>
  <c r="S68" i="1"/>
  <c r="R68" i="1"/>
  <c r="D68" i="1"/>
  <c r="Q68" i="1" s="1"/>
  <c r="W67" i="1"/>
  <c r="V67" i="1"/>
  <c r="U67" i="1"/>
  <c r="T67" i="1"/>
  <c r="S67" i="1"/>
  <c r="R67" i="1"/>
  <c r="D67" i="1"/>
  <c r="Q67" i="1" s="1"/>
  <c r="W66" i="1"/>
  <c r="U66" i="1"/>
  <c r="T66" i="1"/>
  <c r="S66" i="1"/>
  <c r="R66" i="1"/>
  <c r="D66" i="1"/>
  <c r="Q66" i="1" s="1"/>
  <c r="V66" i="1" s="1"/>
  <c r="W65" i="1"/>
  <c r="V65" i="1"/>
  <c r="U65" i="1"/>
  <c r="T65" i="1"/>
  <c r="S65" i="1"/>
  <c r="R65" i="1"/>
  <c r="D65" i="1"/>
  <c r="Q65" i="1" s="1"/>
  <c r="W64" i="1"/>
  <c r="U64" i="1"/>
  <c r="T64" i="1"/>
  <c r="S64" i="1"/>
  <c r="R64" i="1"/>
  <c r="D64" i="1"/>
  <c r="Q64" i="1" s="1"/>
  <c r="V64" i="1" s="1"/>
  <c r="W63" i="1"/>
  <c r="U63" i="1"/>
  <c r="T63" i="1"/>
  <c r="S63" i="1"/>
  <c r="R63" i="1"/>
  <c r="D63" i="1"/>
  <c r="Q63" i="1" s="1"/>
  <c r="V63" i="1" s="1"/>
  <c r="W62" i="1"/>
  <c r="U62" i="1"/>
  <c r="T62" i="1"/>
  <c r="S62" i="1"/>
  <c r="R62" i="1"/>
  <c r="D62" i="1"/>
  <c r="Q62" i="1" s="1"/>
  <c r="V62" i="1" s="1"/>
  <c r="W61" i="1"/>
  <c r="V61" i="1"/>
  <c r="U61" i="1"/>
  <c r="T61" i="1"/>
  <c r="S61" i="1"/>
  <c r="R61" i="1"/>
  <c r="D61" i="1"/>
  <c r="Q61" i="1" s="1"/>
  <c r="W60" i="1"/>
  <c r="V60" i="1"/>
  <c r="U60" i="1"/>
  <c r="T60" i="1"/>
  <c r="S60" i="1"/>
  <c r="R60" i="1"/>
  <c r="D60" i="1"/>
  <c r="Q60" i="1" s="1"/>
  <c r="W59" i="1"/>
  <c r="V59" i="1"/>
  <c r="U59" i="1"/>
  <c r="T59" i="1"/>
  <c r="S59" i="1"/>
  <c r="R59" i="1"/>
  <c r="D59" i="1"/>
  <c r="Q59" i="1" s="1"/>
  <c r="W58" i="1"/>
  <c r="U58" i="1"/>
  <c r="T58" i="1"/>
  <c r="S58" i="1"/>
  <c r="R58" i="1"/>
  <c r="D58" i="1"/>
  <c r="Q58" i="1" s="1"/>
  <c r="V58" i="1" s="1"/>
  <c r="W57" i="1"/>
  <c r="V57" i="1"/>
  <c r="U57" i="1"/>
  <c r="T57" i="1"/>
  <c r="S57" i="1"/>
  <c r="R57" i="1"/>
  <c r="D57" i="1"/>
  <c r="Q57" i="1" s="1"/>
  <c r="W56" i="1"/>
  <c r="U56" i="1"/>
  <c r="T56" i="1"/>
  <c r="S56" i="1"/>
  <c r="R56" i="1"/>
  <c r="D56" i="1"/>
  <c r="Q56" i="1" s="1"/>
  <c r="V56" i="1" s="1"/>
  <c r="W55" i="1"/>
  <c r="U55" i="1"/>
  <c r="T55" i="1"/>
  <c r="S55" i="1"/>
  <c r="R55" i="1"/>
  <c r="D55" i="1"/>
  <c r="Q55" i="1" s="1"/>
  <c r="V55" i="1" s="1"/>
  <c r="W54" i="1"/>
  <c r="U54" i="1"/>
  <c r="T54" i="1"/>
  <c r="S54" i="1"/>
  <c r="R54" i="1"/>
  <c r="D54" i="1"/>
  <c r="Q54" i="1" s="1"/>
  <c r="V54" i="1" s="1"/>
  <c r="W53" i="1"/>
  <c r="V53" i="1"/>
  <c r="U53" i="1"/>
  <c r="T53" i="1"/>
  <c r="S53" i="1"/>
  <c r="R53" i="1"/>
  <c r="D53" i="1"/>
  <c r="Q53" i="1" s="1"/>
  <c r="W52" i="1"/>
  <c r="V52" i="1"/>
  <c r="U52" i="1"/>
  <c r="T52" i="1"/>
  <c r="S52" i="1"/>
  <c r="R52" i="1"/>
  <c r="D52" i="1"/>
  <c r="Q52" i="1" s="1"/>
  <c r="W51" i="1"/>
  <c r="V51" i="1"/>
  <c r="U51" i="1"/>
  <c r="T51" i="1"/>
  <c r="S51" i="1"/>
  <c r="R51" i="1"/>
  <c r="D51" i="1"/>
  <c r="Q51" i="1" s="1"/>
  <c r="W50" i="1"/>
  <c r="U50" i="1"/>
  <c r="T50" i="1"/>
  <c r="S50" i="1"/>
  <c r="R50" i="1"/>
  <c r="D50" i="1"/>
  <c r="Q50" i="1" s="1"/>
  <c r="V50" i="1" s="1"/>
  <c r="W49" i="1"/>
  <c r="V49" i="1"/>
  <c r="U49" i="1"/>
  <c r="T49" i="1"/>
  <c r="S49" i="1"/>
  <c r="R49" i="1"/>
  <c r="D49" i="1"/>
  <c r="Q49" i="1" s="1"/>
  <c r="W48" i="1"/>
  <c r="U48" i="1"/>
  <c r="T48" i="1"/>
  <c r="S48" i="1"/>
  <c r="R48" i="1"/>
  <c r="D48" i="1"/>
  <c r="Q48" i="1" s="1"/>
  <c r="V48" i="1" s="1"/>
  <c r="W47" i="1"/>
  <c r="U47" i="1"/>
  <c r="T47" i="1"/>
  <c r="S47" i="1"/>
  <c r="R47" i="1"/>
  <c r="D47" i="1"/>
  <c r="Q47" i="1" s="1"/>
  <c r="V47" i="1" s="1"/>
  <c r="W46" i="1"/>
  <c r="U46" i="1"/>
  <c r="T46" i="1"/>
  <c r="S46" i="1"/>
  <c r="R46" i="1"/>
  <c r="D46" i="1"/>
  <c r="Q46" i="1" s="1"/>
  <c r="V46" i="1" s="1"/>
  <c r="W45" i="1"/>
  <c r="V45" i="1"/>
  <c r="U45" i="1"/>
  <c r="T45" i="1"/>
  <c r="S45" i="1"/>
  <c r="R45" i="1"/>
  <c r="D45" i="1"/>
  <c r="Q45" i="1" s="1"/>
  <c r="W44" i="1"/>
  <c r="V44" i="1"/>
  <c r="U44" i="1"/>
  <c r="T44" i="1"/>
  <c r="S44" i="1"/>
  <c r="R44" i="1"/>
  <c r="D44" i="1"/>
  <c r="Q44" i="1" s="1"/>
  <c r="W43" i="1"/>
  <c r="V43" i="1"/>
  <c r="U43" i="1"/>
  <c r="T43" i="1"/>
  <c r="S43" i="1"/>
  <c r="R43" i="1"/>
  <c r="D43" i="1"/>
  <c r="Q43" i="1" s="1"/>
  <c r="W42" i="1"/>
  <c r="U42" i="1"/>
  <c r="T42" i="1"/>
  <c r="S42" i="1"/>
  <c r="R42" i="1"/>
  <c r="D42" i="1"/>
  <c r="Q42" i="1" s="1"/>
  <c r="V42" i="1" s="1"/>
  <c r="W41" i="1"/>
  <c r="V41" i="1"/>
  <c r="U41" i="1"/>
  <c r="T41" i="1"/>
  <c r="S41" i="1"/>
  <c r="R41" i="1"/>
  <c r="D41" i="1"/>
  <c r="Q41" i="1" s="1"/>
  <c r="W40" i="1"/>
  <c r="U40" i="1"/>
  <c r="T40" i="1"/>
  <c r="S40" i="1"/>
  <c r="R40" i="1"/>
  <c r="D40" i="1"/>
  <c r="Q40" i="1" s="1"/>
  <c r="V40" i="1" s="1"/>
  <c r="W39" i="1"/>
  <c r="U39" i="1"/>
  <c r="T39" i="1"/>
  <c r="S39" i="1"/>
  <c r="R39" i="1"/>
  <c r="D39" i="1"/>
  <c r="Q39" i="1" s="1"/>
  <c r="V39" i="1" s="1"/>
  <c r="W38" i="1"/>
  <c r="U38" i="1"/>
  <c r="T38" i="1"/>
  <c r="S38" i="1"/>
  <c r="R38" i="1"/>
  <c r="D38" i="1"/>
  <c r="Q38" i="1" s="1"/>
  <c r="V38" i="1" s="1"/>
  <c r="W37" i="1"/>
  <c r="V37" i="1"/>
  <c r="U37" i="1"/>
  <c r="T37" i="1"/>
  <c r="S37" i="1"/>
  <c r="R37" i="1"/>
  <c r="D37" i="1"/>
  <c r="Q37" i="1" s="1"/>
  <c r="W36" i="1"/>
  <c r="V36" i="1"/>
  <c r="U36" i="1"/>
  <c r="T36" i="1"/>
  <c r="S36" i="1"/>
  <c r="R36" i="1"/>
  <c r="D36" i="1"/>
  <c r="Q36" i="1" s="1"/>
  <c r="W35" i="1"/>
  <c r="V35" i="1"/>
  <c r="U35" i="1"/>
  <c r="T35" i="1"/>
  <c r="S35" i="1"/>
  <c r="R35" i="1"/>
  <c r="D35" i="1"/>
  <c r="Q35" i="1" s="1"/>
  <c r="W34" i="1"/>
  <c r="U34" i="1"/>
  <c r="T34" i="1"/>
  <c r="S34" i="1"/>
  <c r="R34" i="1"/>
  <c r="D34" i="1"/>
  <c r="Q34" i="1" s="1"/>
  <c r="V34" i="1" s="1"/>
  <c r="W33" i="1"/>
  <c r="V33" i="1"/>
  <c r="U33" i="1"/>
  <c r="T33" i="1"/>
  <c r="S33" i="1"/>
  <c r="R33" i="1"/>
  <c r="D33" i="1"/>
  <c r="Q33" i="1" s="1"/>
  <c r="W32" i="1"/>
  <c r="U32" i="1"/>
  <c r="T32" i="1"/>
  <c r="S32" i="1"/>
  <c r="R32" i="1"/>
  <c r="D32" i="1"/>
  <c r="Q32" i="1" s="1"/>
  <c r="V32" i="1" s="1"/>
  <c r="W31" i="1"/>
  <c r="U31" i="1"/>
  <c r="T31" i="1"/>
  <c r="S31" i="1"/>
  <c r="R31" i="1"/>
  <c r="D31" i="1"/>
  <c r="Q31" i="1" s="1"/>
  <c r="V31" i="1" s="1"/>
  <c r="W30" i="1"/>
  <c r="U30" i="1"/>
  <c r="T30" i="1"/>
  <c r="S30" i="1"/>
  <c r="R30" i="1"/>
  <c r="D30" i="1"/>
  <c r="Q30" i="1" s="1"/>
  <c r="V30" i="1" s="1"/>
  <c r="W29" i="1"/>
  <c r="V29" i="1"/>
  <c r="U29" i="1"/>
  <c r="T29" i="1"/>
  <c r="S29" i="1"/>
  <c r="R29" i="1"/>
  <c r="D29" i="1"/>
  <c r="Q29" i="1" s="1"/>
  <c r="W28" i="1"/>
  <c r="V28" i="1"/>
  <c r="U28" i="1"/>
  <c r="T28" i="1"/>
  <c r="S28" i="1"/>
  <c r="R28" i="1"/>
  <c r="D28" i="1"/>
  <c r="Q28" i="1" s="1"/>
  <c r="W27" i="1"/>
  <c r="V27" i="1"/>
  <c r="U27" i="1"/>
  <c r="T27" i="1"/>
  <c r="S27" i="1"/>
  <c r="R27" i="1"/>
  <c r="D27" i="1"/>
  <c r="Q27" i="1" s="1"/>
  <c r="W26" i="1"/>
  <c r="U26" i="1"/>
  <c r="T26" i="1"/>
  <c r="S26" i="1"/>
  <c r="R26" i="1"/>
  <c r="D26" i="1"/>
  <c r="Q26" i="1" s="1"/>
  <c r="V26" i="1" s="1"/>
  <c r="W25" i="1"/>
  <c r="V25" i="1"/>
  <c r="U25" i="1"/>
  <c r="T25" i="1"/>
  <c r="S25" i="1"/>
  <c r="R25" i="1"/>
  <c r="D25" i="1"/>
  <c r="Q25" i="1" s="1"/>
  <c r="W24" i="1"/>
  <c r="U24" i="1"/>
  <c r="T24" i="1"/>
  <c r="S24" i="1"/>
  <c r="R24" i="1"/>
  <c r="D24" i="1"/>
  <c r="Q24" i="1" s="1"/>
  <c r="V24" i="1" s="1"/>
  <c r="W23" i="1"/>
  <c r="U23" i="1"/>
  <c r="T23" i="1"/>
  <c r="S23" i="1"/>
  <c r="R23" i="1"/>
  <c r="D23" i="1"/>
  <c r="Q23" i="1" s="1"/>
  <c r="V23" i="1" s="1"/>
  <c r="W22" i="1"/>
  <c r="U22" i="1"/>
  <c r="T22" i="1"/>
  <c r="S22" i="1"/>
  <c r="R22" i="1"/>
  <c r="D22" i="1"/>
  <c r="Q22" i="1" s="1"/>
  <c r="V22" i="1" s="1"/>
  <c r="W21" i="1"/>
  <c r="V21" i="1"/>
  <c r="U21" i="1"/>
  <c r="T21" i="1"/>
  <c r="S21" i="1"/>
  <c r="R21" i="1"/>
  <c r="D21" i="1"/>
  <c r="Q21" i="1" s="1"/>
  <c r="W20" i="1"/>
  <c r="V20" i="1"/>
  <c r="U20" i="1"/>
  <c r="T20" i="1"/>
  <c r="S20" i="1"/>
  <c r="R20" i="1"/>
  <c r="D20" i="1"/>
  <c r="Q20" i="1" s="1"/>
  <c r="W19" i="1"/>
  <c r="V19" i="1"/>
  <c r="U19" i="1"/>
  <c r="T19" i="1"/>
  <c r="S19" i="1"/>
  <c r="R19" i="1"/>
  <c r="D19" i="1"/>
  <c r="Q19" i="1" s="1"/>
  <c r="W18" i="1"/>
  <c r="U18" i="1"/>
  <c r="T18" i="1"/>
  <c r="S18" i="1"/>
  <c r="R18" i="1"/>
  <c r="D18" i="1"/>
  <c r="Q18" i="1" s="1"/>
  <c r="V18" i="1" s="1"/>
  <c r="W17" i="1"/>
  <c r="V17" i="1"/>
  <c r="U17" i="1"/>
  <c r="T17" i="1"/>
  <c r="S17" i="1"/>
  <c r="R17" i="1"/>
  <c r="D17" i="1"/>
  <c r="Q17" i="1" s="1"/>
  <c r="W16" i="1"/>
  <c r="U16" i="1"/>
  <c r="T16" i="1"/>
  <c r="S16" i="1"/>
  <c r="R16" i="1"/>
  <c r="D16" i="1"/>
  <c r="Q16" i="1" s="1"/>
  <c r="V16" i="1" s="1"/>
  <c r="W15" i="1"/>
  <c r="U15" i="1"/>
  <c r="T15" i="1"/>
  <c r="S15" i="1"/>
  <c r="R15" i="1"/>
  <c r="D15" i="1"/>
  <c r="Q15" i="1" s="1"/>
  <c r="V15" i="1" s="1"/>
  <c r="W14" i="1"/>
  <c r="U14" i="1"/>
  <c r="T14" i="1"/>
  <c r="S14" i="1"/>
  <c r="R14" i="1"/>
  <c r="D14" i="1"/>
  <c r="Q14" i="1" s="1"/>
  <c r="V14" i="1" s="1"/>
  <c r="W13" i="1"/>
  <c r="V13" i="1"/>
  <c r="U13" i="1"/>
  <c r="T13" i="1"/>
  <c r="S13" i="1"/>
  <c r="R13" i="1"/>
  <c r="D13" i="1"/>
  <c r="Q13" i="1" s="1"/>
  <c r="W12" i="1"/>
  <c r="V12" i="1"/>
  <c r="U12" i="1"/>
  <c r="T12" i="1"/>
  <c r="S12" i="1"/>
  <c r="R12" i="1"/>
  <c r="D12" i="1"/>
  <c r="Q12" i="1" s="1"/>
  <c r="W11" i="1"/>
  <c r="V11" i="1"/>
  <c r="U11" i="1"/>
  <c r="T11" i="1"/>
  <c r="S11" i="1"/>
  <c r="R11" i="1"/>
  <c r="D11" i="1"/>
  <c r="Q11" i="1" s="1"/>
  <c r="W10" i="1"/>
  <c r="U10" i="1"/>
  <c r="T10" i="1"/>
  <c r="S10" i="1"/>
  <c r="R10" i="1"/>
  <c r="D10" i="1"/>
  <c r="Q10" i="1" s="1"/>
  <c r="V10" i="1" s="1"/>
  <c r="W9" i="1"/>
  <c r="V9" i="1"/>
  <c r="U9" i="1"/>
  <c r="T9" i="1"/>
  <c r="S9" i="1"/>
  <c r="R9" i="1"/>
  <c r="D9" i="1"/>
  <c r="Q9" i="1" s="1"/>
  <c r="W8" i="1"/>
  <c r="U8" i="1"/>
  <c r="T8" i="1"/>
  <c r="S8" i="1"/>
  <c r="R8" i="1"/>
  <c r="D8" i="1"/>
  <c r="Q8" i="1" s="1"/>
  <c r="V8" i="1" s="1"/>
  <c r="W7" i="1"/>
  <c r="U7" i="1"/>
  <c r="T7" i="1"/>
  <c r="S7" i="1"/>
  <c r="R7" i="1"/>
  <c r="D7" i="1"/>
  <c r="Q7" i="1" s="1"/>
  <c r="V7" i="1" s="1"/>
  <c r="W6" i="1"/>
  <c r="U6" i="1"/>
  <c r="T6" i="1"/>
  <c r="S6" i="1"/>
  <c r="R6" i="1"/>
  <c r="D6" i="1"/>
  <c r="Q6" i="1" s="1"/>
  <c r="V6" i="1" s="1"/>
  <c r="W5" i="1"/>
  <c r="V5" i="1"/>
  <c r="U5" i="1"/>
  <c r="T5" i="1"/>
  <c r="S5" i="1"/>
  <c r="R5" i="1"/>
  <c r="D5" i="1"/>
  <c r="Q5" i="1" s="1"/>
  <c r="W4" i="1"/>
  <c r="V4" i="1"/>
  <c r="U4" i="1"/>
  <c r="T4" i="1"/>
  <c r="S4" i="1"/>
  <c r="R4" i="1"/>
  <c r="D4" i="1"/>
  <c r="Q4" i="1" s="1"/>
  <c r="W3" i="1"/>
  <c r="V3" i="1"/>
  <c r="U3" i="1"/>
  <c r="T3" i="1"/>
  <c r="S3" i="1"/>
  <c r="R3" i="1"/>
  <c r="D3" i="1"/>
  <c r="Q3" i="1" s="1"/>
  <c r="W2" i="1"/>
  <c r="U2" i="1"/>
  <c r="T2" i="1"/>
  <c r="S2" i="1"/>
  <c r="R2" i="1"/>
  <c r="D2" i="1"/>
  <c r="Q2" i="1" s="1"/>
  <c r="V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53BE4-8A15-49B9-AEB4-7EE0D7394E55}" keepAlive="1" name="Query - dataset1" description="Connection to the 'dataset1' query in the workbook." type="5" refreshedVersion="0" background="1">
    <dbPr connection="Provider=Microsoft.Mashup.OleDb.1;Data Source=$Workbook$;Location=dataset1;Extended Properties=&quot;&quot;" command="SELECT * FROM [dataset1]"/>
  </connection>
  <connection id="2" xr16:uid="{B1503DE9-B033-49E9-B16E-052D0036A69B}" keepAlive="1" name="Query - dataset2" description="Connection to the 'dataset2' query in the workbook." type="5" refreshedVersion="0" background="1">
    <dbPr connection="Provider=Microsoft.Mashup.OleDb.1;Data Source=$Workbook$;Location=dataset2;Extended Properties=&quot;&quot;" command="SELECT * FROM [dataset2]"/>
  </connection>
  <connection id="3" xr16:uid="{3CFAFEE8-AA41-4B9D-AD73-5DCCF50E4D4E}" keepAlive="1" name="Query - dataset3" description="Connection to the 'dataset3' query in the workbook." type="5" refreshedVersion="0" background="1">
    <dbPr connection="Provider=Microsoft.Mashup.OleDb.1;Data Source=$Workbook$;Location=dataset3;Extended Properties=&quot;&quot;" command="SELECT * FROM [dataset3]"/>
  </connection>
  <connection id="4" xr16:uid="{A33CF393-FC18-4497-8C98-C8D5FBF4C1BA}" keepAlive="1" name="Query - Mergedataset1" description="Connection to the 'Mergedataset1' query in the workbook." type="5" refreshedVersion="0" background="1">
    <dbPr connection="Provider=Microsoft.Mashup.OleDb.1;Data Source=$Workbook$;Location=Mergedataset1;Extended Properties=&quot;&quot;" command="SELECT * FROM [Mergedataset1]"/>
  </connection>
  <connection id="5" xr16:uid="{2123A6B7-E69B-4EA2-8DAA-40F334887891}" keepAlive="1" name="Query - mergedcleandataset" description="Connection to the 'mergedcleandataset' query in the workbook." type="5" refreshedVersion="8" background="1" saveData="1">
    <dbPr connection="Provider=Microsoft.Mashup.OleDb.1;Data Source=$Workbook$;Location=mergedcleandataset;Extended Properties=&quot;&quot;" command="SELECT * FROM [mergedcleandataset]"/>
  </connection>
</connections>
</file>

<file path=xl/sharedStrings.xml><?xml version="1.0" encoding="utf-8"?>
<sst xmlns="http://schemas.openxmlformats.org/spreadsheetml/2006/main" count="23" uniqueCount="23">
  <si>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</si>
  <si>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</si>
  <si>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</si>
  <si>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</si>
  <si>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</si>
  <si>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</si>
  <si>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</si>
  <si>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</si>
  <si>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</si>
  <si>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</si>
  <si>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</si>
  <si>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</si>
  <si>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</si>
  <si>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</si>
  <si>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</si>
  <si>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</si>
  <si>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date</t>
  </si>
  <si>
    <t>day</t>
  </si>
  <si>
    <t>is_weekend</t>
  </si>
  <si>
    <t>row_issue</t>
  </si>
  <si>
    <t>season_name</t>
  </si>
  <si>
    <t>weekday_name</t>
  </si>
  <si>
    <t>Weathersit_name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</si>
</sst>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A1B360B-77AD-427D-8A6F-257519BB8D89}" autoFormatId="16" applyNumberFormats="0" applyBorderFormats="0" applyFontFormats="0" applyPatternFormats="0" applyAlignmentFormats="0" applyWidthHeightFormats="0">
  <queryTableRefresh nextId="27" unboundColumnsRight="7">
    <queryTableFields count="23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dataBound="0" tableColumnId="17"/>
      <queryTableField id="18" dataBound="0" tableColumnId="18"/>
      <queryTableField id="20" dataBound="0" tableColumnId="20"/>
      <queryTableField id="22" dataBound="0" tableColumnId="22"/>
      <queryTableField id="23" dataBound="0" tableColumnId="23"/>
      <queryTableField id="24" dataBound="0" tableColumnId="24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3A936-ADFC-4A6A-968F-7F9E8AE83283}" name="mergedcleandataset" displayName="mergedcleandataset" ref="A1:W1001" tableType="queryTable" totalsRowShown="0">
  <autoFilter ref="A1:W1001" xr:uid="{9B63A936-ADFC-4A6A-968F-7F9E8AE83283}"/>
  <tableColumns count="23">
    <tableColumn id="1" xr3:uid="{A541BF11-F6BB-4FAB-9F0B-CDFECD3BA920}" uniqueName="1" name="instant" queryTableFieldId="1"/>
    <tableColumn id="2" xr3:uid="{E38ED6B9-38BA-45F7-A3B6-3ACEAA5950F5}" uniqueName="2" name="dteday" queryTableFieldId="2" dataDxfId="7"/>
    <tableColumn id="3" xr3:uid="{14C32DEE-F682-488F-8E69-C26665ED363A}" uniqueName="3" name="season" queryTableFieldId="3"/>
    <tableColumn id="4" xr3:uid="{0C0C92AD-B942-4868-89C8-94D7AC39A5B4}" uniqueName="4" name="yr" queryTableFieldId="4"/>
    <tableColumn id="5" xr3:uid="{2447B5B2-8A14-4B78-B681-FEC6F563C71A}" uniqueName="5" name="mnth" queryTableFieldId="5"/>
    <tableColumn id="6" xr3:uid="{82903EB7-0B96-4600-B2C0-26FA8FC25F14}" uniqueName="6" name="hr" queryTableFieldId="6"/>
    <tableColumn id="7" xr3:uid="{C69C08FE-5F55-4E79-8FEF-7EE774002C67}" uniqueName="7" name="holiday" queryTableFieldId="7"/>
    <tableColumn id="8" xr3:uid="{EB6D66D9-304B-4342-A83E-608472FD08EC}" uniqueName="8" name="weekday" queryTableFieldId="8"/>
    <tableColumn id="9" xr3:uid="{34F1EC9B-FFFF-4394-8C8D-ADA1CAE751B0}" uniqueName="9" name="weathersit" queryTableFieldId="9"/>
    <tableColumn id="10" xr3:uid="{924ED086-A29B-4AFA-922E-88A5728DAB5F}" uniqueName="10" name="temp" queryTableFieldId="10"/>
    <tableColumn id="11" xr3:uid="{7DE91BA3-5207-417B-AC6E-30F651F4B6D5}" uniqueName="11" name="atemp" queryTableFieldId="11"/>
    <tableColumn id="12" xr3:uid="{20887281-50FD-4FE7-825A-E14A49E5A56B}" uniqueName="12" name="hum" queryTableFieldId="12"/>
    <tableColumn id="13" xr3:uid="{EA0A635F-F52A-4FE6-9F88-243EC3986F4C}" uniqueName="13" name="windspeed" queryTableFieldId="13"/>
    <tableColumn id="14" xr3:uid="{4BE5D570-05A8-43C8-8EDB-7E7ED19FB8EF}" uniqueName="14" name="casual" queryTableFieldId="14"/>
    <tableColumn id="15" xr3:uid="{60A55755-B061-4781-8D03-FE750D7B77BD}" uniqueName="15" name="registered" queryTableFieldId="15"/>
    <tableColumn id="16" xr3:uid="{BEE42ADF-7086-4307-9C60-321D7B324A54}" uniqueName="16" name="cnt" queryTableFieldId="16"/>
    <tableColumn id="17" xr3:uid="{1B537BB4-D311-46AF-9A77-0686EACC05EC}" uniqueName="17" name="date" queryTableFieldId="17" dataDxfId="6">
      <calculatedColumnFormula>DATE(mergedcleandataset[[#This Row],[yr]],mergedcleandataset[[#This Row],[mnth]],mergedcleandataset[[#This Row],[day]])</calculatedColumnFormula>
    </tableColumn>
    <tableColumn id="18" xr3:uid="{BABF9D8C-A416-4A71-89EE-B3DF69109C32}" uniqueName="18" name="day" queryTableFieldId="18" dataDxfId="5">
      <calculatedColumnFormula>DAY(mergedcleandataset[[#This Row],[dteday]])</calculatedColumnFormula>
    </tableColumn>
    <tableColumn id="20" xr3:uid="{0FDE0632-FE07-46A6-B35C-FB26CC1E17B7}" uniqueName="20" name="is_weekend" queryTableFieldId="20" dataDxfId="4">
      <calculatedColumnFormula>IF(mergedcleandataset[[#This Row],[weekday]]&gt;=5,"Yes","No")</calculatedColumnFormula>
    </tableColumn>
    <tableColumn id="22" xr3:uid="{B09AB414-747F-46DD-B6BA-EA5B16F1A0B1}" uniqueName="22" name="row_issue" queryTableFieldId="22" dataDxfId="3">
      <calculatedColumnFormula>ISBLANK(mergedcleandataset[[#This Row],[atemp]])</calculatedColumnFormula>
    </tableColumn>
    <tableColumn id="23" xr3:uid="{1B209722-7220-4776-92A2-2DAFE7DE48A8}" uniqueName="23" name="season_name" queryTableFieldId="23" dataDxfId="2">
      <calculatedColumnFormula>IF(C2=1,"Spring",
IF(C2=2,"Summer",
IF(C2=3,"Fall",
IF(C2=4,"Winter","Unknown"))))</calculatedColumnFormula>
    </tableColumn>
    <tableColumn id="24" xr3:uid="{71642B76-14A4-4A27-A6EC-6503F37D7F60}" uniqueName="24" name="weekday_name" queryTableFieldId="24" dataDxfId="1">
      <calculatedColumnFormula>TEXT(mergedcleandataset[[#This Row],[date]],"dddd")</calculatedColumnFormula>
    </tableColumn>
    <tableColumn id="26" xr3:uid="{2D8D9448-DEA6-46AB-843A-E06CC4FBBA61}" uniqueName="26" name="Weathersit_name" queryTableFieldId="26" dataDxfId="0">
      <calculatedColumnFormula>IF(mergedcleandataset[[#This Row],[weathersit]]=1,"Clear",
IF(mergedcleandataset[[#This Row],[weathersit]]=2,"Mist/Cloudy",
IF(mergedcleandataset[[#This Row],[weathersit]]=3,"Light Rain/Snow",
"Heavy Rain/Storm")))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E35B-9305-4C13-8755-50B73F100EBC}">
  <dimension ref="A1:W1001"/>
  <sheetViews>
    <sheetView tabSelected="1" workbookViewId="0">
      <selection activeCell="Z3" sqref="Z3"/>
    </sheetView>
  </sheetViews>
  <sheetFormatPr defaultRowHeight="15" x14ac:dyDescent="0.25"/>
  <cols>
    <col min="2" max="2" width="15.5703125" bestFit="1" customWidth="1"/>
    <col min="17" max="17" width="10.42578125" bestFit="1" customWidth="1"/>
    <col min="23" max="23" width="19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s="1">
        <v>40544</v>
      </c>
      <c r="C2">
        <v>1</v>
      </c>
      <c r="D2" t="str">
        <f>TEXT(mergedcleandataset[[#This Row],[dteday]],"yyyy")</f>
        <v>2011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s="2">
        <f>DATE(mergedcleandataset[[#This Row],[yr]],mergedcleandataset[[#This Row],[mnth]],mergedcleandataset[[#This Row],[day]])</f>
        <v>40544</v>
      </c>
      <c r="R2">
        <f>DAY(mergedcleandataset[[#This Row],[dteday]])</f>
        <v>1</v>
      </c>
      <c r="S2" t="str">
        <f>IF(mergedcleandataset[[#This Row],[weekday]]&gt;=5,"Yes","No")</f>
        <v>Yes</v>
      </c>
      <c r="T2" t="b">
        <f>ISBLANK(mergedcleandataset[[#This Row],[atemp]])</f>
        <v>0</v>
      </c>
      <c r="U2" t="str">
        <f t="shared" ref="U2:U65" si="0">IF(C2=1,"Spring",
IF(C2=2,"Summer",
IF(C2=3,"Fall",
IF(C2=4,"Winter","Unknown"))))</f>
        <v>Spring</v>
      </c>
      <c r="V2" t="str">
        <f>TEXT(mergedcleandataset[[#This Row],[date]],"dddd")</f>
        <v>Saturday</v>
      </c>
      <c r="W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" spans="1:23" x14ac:dyDescent="0.25">
      <c r="A3">
        <v>2</v>
      </c>
      <c r="B3" s="1">
        <v>40544</v>
      </c>
      <c r="C3">
        <v>1</v>
      </c>
      <c r="D3" t="str">
        <f>TEXT(mergedcleandataset[[#This Row],[dteday]],"yyyy")</f>
        <v>2011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s="2">
        <f>DATE(mergedcleandataset[[#This Row],[yr]],mergedcleandataset[[#This Row],[mnth]],mergedcleandataset[[#This Row],[day]])</f>
        <v>40544</v>
      </c>
      <c r="R3">
        <f>DAY(mergedcleandataset[[#This Row],[dteday]])</f>
        <v>1</v>
      </c>
      <c r="S3" t="str">
        <f>IF(mergedcleandataset[[#This Row],[weekday]]&gt;=5,"Yes","No")</f>
        <v>Yes</v>
      </c>
      <c r="T3" t="b">
        <f>ISBLANK(mergedcleandataset[[#This Row],[atemp]])</f>
        <v>0</v>
      </c>
      <c r="U3" t="str">
        <f t="shared" si="0"/>
        <v>Spring</v>
      </c>
      <c r="V3" t="str">
        <f>TEXT(mergedcleandataset[[#This Row],[date]],"dddd")</f>
        <v>Saturday</v>
      </c>
      <c r="W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" spans="1:23" x14ac:dyDescent="0.25">
      <c r="A4">
        <v>3</v>
      </c>
      <c r="B4" s="1">
        <v>40544</v>
      </c>
      <c r="C4">
        <v>1</v>
      </c>
      <c r="D4" t="str">
        <f>TEXT(mergedcleandataset[[#This Row],[dteday]],"yyyy")</f>
        <v>2011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s="2">
        <f>DATE(mergedcleandataset[[#This Row],[yr]],mergedcleandataset[[#This Row],[mnth]],mergedcleandataset[[#This Row],[day]])</f>
        <v>40544</v>
      </c>
      <c r="R4">
        <f>DAY(mergedcleandataset[[#This Row],[dteday]])</f>
        <v>1</v>
      </c>
      <c r="S4" t="str">
        <f>IF(mergedcleandataset[[#This Row],[weekday]]&gt;=5,"Yes","No")</f>
        <v>Yes</v>
      </c>
      <c r="T4" t="b">
        <f>ISBLANK(mergedcleandataset[[#This Row],[atemp]])</f>
        <v>0</v>
      </c>
      <c r="U4" t="str">
        <f t="shared" si="0"/>
        <v>Spring</v>
      </c>
      <c r="V4" t="str">
        <f>TEXT(mergedcleandataset[[#This Row],[date]],"dddd")</f>
        <v>Saturday</v>
      </c>
      <c r="W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" spans="1:23" x14ac:dyDescent="0.25">
      <c r="A5">
        <v>4</v>
      </c>
      <c r="B5" s="1">
        <v>40544</v>
      </c>
      <c r="C5">
        <v>1</v>
      </c>
      <c r="D5" t="str">
        <f>TEXT(mergedcleandataset[[#This Row],[dteday]],"yyyy")</f>
        <v>2011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s="2">
        <f>DATE(mergedcleandataset[[#This Row],[yr]],mergedcleandataset[[#This Row],[mnth]],mergedcleandataset[[#This Row],[day]])</f>
        <v>40544</v>
      </c>
      <c r="R5">
        <f>DAY(mergedcleandataset[[#This Row],[dteday]])</f>
        <v>1</v>
      </c>
      <c r="S5" t="str">
        <f>IF(mergedcleandataset[[#This Row],[weekday]]&gt;=5,"Yes","No")</f>
        <v>Yes</v>
      </c>
      <c r="T5" t="b">
        <f>ISBLANK(mergedcleandataset[[#This Row],[atemp]])</f>
        <v>0</v>
      </c>
      <c r="U5" t="str">
        <f t="shared" si="0"/>
        <v>Spring</v>
      </c>
      <c r="V5" t="str">
        <f>TEXT(mergedcleandataset[[#This Row],[date]],"dddd")</f>
        <v>Saturday</v>
      </c>
      <c r="W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" spans="1:23" x14ac:dyDescent="0.25">
      <c r="A6">
        <v>5</v>
      </c>
      <c r="B6" s="1">
        <v>40544</v>
      </c>
      <c r="C6">
        <v>1</v>
      </c>
      <c r="D6" t="str">
        <f>TEXT(mergedcleandataset[[#This Row],[dteday]],"yyyy")</f>
        <v>2011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s="2">
        <f>DATE(mergedcleandataset[[#This Row],[yr]],mergedcleandataset[[#This Row],[mnth]],mergedcleandataset[[#This Row],[day]])</f>
        <v>40544</v>
      </c>
      <c r="R6">
        <f>DAY(mergedcleandataset[[#This Row],[dteday]])</f>
        <v>1</v>
      </c>
      <c r="S6" t="str">
        <f>IF(mergedcleandataset[[#This Row],[weekday]]&gt;=5,"Yes","No")</f>
        <v>Yes</v>
      </c>
      <c r="T6" t="b">
        <f>ISBLANK(mergedcleandataset[[#This Row],[atemp]])</f>
        <v>0</v>
      </c>
      <c r="U6" t="str">
        <f t="shared" si="0"/>
        <v>Spring</v>
      </c>
      <c r="V6" t="str">
        <f>TEXT(mergedcleandataset[[#This Row],[date]],"dddd")</f>
        <v>Saturday</v>
      </c>
      <c r="W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" spans="1:23" x14ac:dyDescent="0.25">
      <c r="A7">
        <v>6</v>
      </c>
      <c r="B7" s="1">
        <v>40544</v>
      </c>
      <c r="C7">
        <v>1</v>
      </c>
      <c r="D7" t="str">
        <f>TEXT(mergedcleandataset[[#This Row],[dteday]],"yyyy")</f>
        <v>2011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s="2">
        <f>DATE(mergedcleandataset[[#This Row],[yr]],mergedcleandataset[[#This Row],[mnth]],mergedcleandataset[[#This Row],[day]])</f>
        <v>40544</v>
      </c>
      <c r="R7">
        <f>DAY(mergedcleandataset[[#This Row],[dteday]])</f>
        <v>1</v>
      </c>
      <c r="S7" t="str">
        <f>IF(mergedcleandataset[[#This Row],[weekday]]&gt;=5,"Yes","No")</f>
        <v>Yes</v>
      </c>
      <c r="T7" t="b">
        <f>ISBLANK(mergedcleandataset[[#This Row],[atemp]])</f>
        <v>0</v>
      </c>
      <c r="U7" t="str">
        <f t="shared" si="0"/>
        <v>Spring</v>
      </c>
      <c r="V7" t="str">
        <f>TEXT(mergedcleandataset[[#This Row],[date]],"dddd")</f>
        <v>Saturday</v>
      </c>
      <c r="W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" spans="1:23" x14ac:dyDescent="0.25">
      <c r="A8">
        <v>7</v>
      </c>
      <c r="B8" s="1">
        <v>40544</v>
      </c>
      <c r="C8">
        <v>1</v>
      </c>
      <c r="D8" t="str">
        <f>TEXT(mergedcleandataset[[#This Row],[dteday]],"yyyy")</f>
        <v>2011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s="2">
        <f>DATE(mergedcleandataset[[#This Row],[yr]],mergedcleandataset[[#This Row],[mnth]],mergedcleandataset[[#This Row],[day]])</f>
        <v>40544</v>
      </c>
      <c r="R8">
        <f>DAY(mergedcleandataset[[#This Row],[dteday]])</f>
        <v>1</v>
      </c>
      <c r="S8" t="str">
        <f>IF(mergedcleandataset[[#This Row],[weekday]]&gt;=5,"Yes","No")</f>
        <v>Yes</v>
      </c>
      <c r="T8" t="b">
        <f>ISBLANK(mergedcleandataset[[#This Row],[atemp]])</f>
        <v>0</v>
      </c>
      <c r="U8" t="str">
        <f t="shared" si="0"/>
        <v>Spring</v>
      </c>
      <c r="V8" t="str">
        <f>TEXT(mergedcleandataset[[#This Row],[date]],"dddd")</f>
        <v>Saturday</v>
      </c>
      <c r="W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" spans="1:23" x14ac:dyDescent="0.25">
      <c r="A9">
        <v>8</v>
      </c>
      <c r="B9" s="1">
        <v>40544</v>
      </c>
      <c r="C9">
        <v>1</v>
      </c>
      <c r="D9" t="str">
        <f>TEXT(mergedcleandataset[[#This Row],[dteday]],"yyyy")</f>
        <v>2011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s="2">
        <f>DATE(mergedcleandataset[[#This Row],[yr]],mergedcleandataset[[#This Row],[mnth]],mergedcleandataset[[#This Row],[day]])</f>
        <v>40544</v>
      </c>
      <c r="R9">
        <f>DAY(mergedcleandataset[[#This Row],[dteday]])</f>
        <v>1</v>
      </c>
      <c r="S9" t="str">
        <f>IF(mergedcleandataset[[#This Row],[weekday]]&gt;=5,"Yes","No")</f>
        <v>Yes</v>
      </c>
      <c r="T9" t="b">
        <f>ISBLANK(mergedcleandataset[[#This Row],[atemp]])</f>
        <v>0</v>
      </c>
      <c r="U9" t="str">
        <f t="shared" si="0"/>
        <v>Spring</v>
      </c>
      <c r="V9" t="str">
        <f>TEXT(mergedcleandataset[[#This Row],[date]],"dddd")</f>
        <v>Saturday</v>
      </c>
      <c r="W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" spans="1:23" x14ac:dyDescent="0.25">
      <c r="A10">
        <v>9</v>
      </c>
      <c r="B10" s="1">
        <v>40544</v>
      </c>
      <c r="C10">
        <v>1</v>
      </c>
      <c r="D10" t="str">
        <f>TEXT(mergedcleandataset[[#This Row],[dteday]],"yyyy")</f>
        <v>2011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  <c r="Q10" s="2">
        <f>DATE(mergedcleandataset[[#This Row],[yr]],mergedcleandataset[[#This Row],[mnth]],mergedcleandataset[[#This Row],[day]])</f>
        <v>40544</v>
      </c>
      <c r="R10">
        <f>DAY(mergedcleandataset[[#This Row],[dteday]])</f>
        <v>1</v>
      </c>
      <c r="S10" t="str">
        <f>IF(mergedcleandataset[[#This Row],[weekday]]&gt;=5,"Yes","No")</f>
        <v>Yes</v>
      </c>
      <c r="T10" t="b">
        <f>ISBLANK(mergedcleandataset[[#This Row],[atemp]])</f>
        <v>1</v>
      </c>
      <c r="U10" t="str">
        <f t="shared" si="0"/>
        <v>Spring</v>
      </c>
      <c r="V10" t="str">
        <f>TEXT(mergedcleandataset[[#This Row],[date]],"dddd")</f>
        <v>Saturday</v>
      </c>
      <c r="W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" spans="1:23" x14ac:dyDescent="0.25">
      <c r="A11">
        <v>10</v>
      </c>
      <c r="B11" s="1">
        <v>40544</v>
      </c>
      <c r="C11">
        <v>1</v>
      </c>
      <c r="D11" t="str">
        <f>TEXT(mergedcleandataset[[#This Row],[dteday]],"yyyy")</f>
        <v>2011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s="2">
        <f>DATE(mergedcleandataset[[#This Row],[yr]],mergedcleandataset[[#This Row],[mnth]],mergedcleandataset[[#This Row],[day]])</f>
        <v>40544</v>
      </c>
      <c r="R11">
        <f>DAY(mergedcleandataset[[#This Row],[dteday]])</f>
        <v>1</v>
      </c>
      <c r="S11" t="str">
        <f>IF(mergedcleandataset[[#This Row],[weekday]]&gt;=5,"Yes","No")</f>
        <v>Yes</v>
      </c>
      <c r="T11" t="b">
        <f>ISBLANK(mergedcleandataset[[#This Row],[atemp]])</f>
        <v>0</v>
      </c>
      <c r="U11" t="str">
        <f t="shared" si="0"/>
        <v>Spring</v>
      </c>
      <c r="V11" t="str">
        <f>TEXT(mergedcleandataset[[#This Row],[date]],"dddd")</f>
        <v>Saturday</v>
      </c>
      <c r="W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2" spans="1:23" x14ac:dyDescent="0.25">
      <c r="A12">
        <v>11</v>
      </c>
      <c r="B12" s="1">
        <v>40544</v>
      </c>
      <c r="C12">
        <v>1</v>
      </c>
      <c r="D12" t="str">
        <f>TEXT(mergedcleandataset[[#This Row],[dteday]],"yyyy")</f>
        <v>2011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s="2">
        <f>DATE(mergedcleandataset[[#This Row],[yr]],mergedcleandataset[[#This Row],[mnth]],mergedcleandataset[[#This Row],[day]])</f>
        <v>40544</v>
      </c>
      <c r="R12">
        <f>DAY(mergedcleandataset[[#This Row],[dteday]])</f>
        <v>1</v>
      </c>
      <c r="S12" t="str">
        <f>IF(mergedcleandataset[[#This Row],[weekday]]&gt;=5,"Yes","No")</f>
        <v>Yes</v>
      </c>
      <c r="T12" t="b">
        <f>ISBLANK(mergedcleandataset[[#This Row],[atemp]])</f>
        <v>0</v>
      </c>
      <c r="U12" t="str">
        <f t="shared" si="0"/>
        <v>Spring</v>
      </c>
      <c r="V12" t="str">
        <f>TEXT(mergedcleandataset[[#This Row],[date]],"dddd")</f>
        <v>Saturday</v>
      </c>
      <c r="W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" spans="1:23" x14ac:dyDescent="0.25">
      <c r="A13">
        <v>12</v>
      </c>
      <c r="B13" s="1">
        <v>40544</v>
      </c>
      <c r="C13">
        <v>1</v>
      </c>
      <c r="D13" t="str">
        <f>TEXT(mergedcleandataset[[#This Row],[dteday]],"yyyy")</f>
        <v>2011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s="2">
        <f>DATE(mergedcleandataset[[#This Row],[yr]],mergedcleandataset[[#This Row],[mnth]],mergedcleandataset[[#This Row],[day]])</f>
        <v>40544</v>
      </c>
      <c r="R13">
        <f>DAY(mergedcleandataset[[#This Row],[dteday]])</f>
        <v>1</v>
      </c>
      <c r="S13" t="str">
        <f>IF(mergedcleandataset[[#This Row],[weekday]]&gt;=5,"Yes","No")</f>
        <v>Yes</v>
      </c>
      <c r="T13" t="b">
        <f>ISBLANK(mergedcleandataset[[#This Row],[atemp]])</f>
        <v>0</v>
      </c>
      <c r="U13" t="str">
        <f t="shared" si="0"/>
        <v>Spring</v>
      </c>
      <c r="V13" t="str">
        <f>TEXT(mergedcleandataset[[#This Row],[date]],"dddd")</f>
        <v>Saturday</v>
      </c>
      <c r="W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4" spans="1:23" x14ac:dyDescent="0.25">
      <c r="A14">
        <v>13</v>
      </c>
      <c r="B14" s="1">
        <v>40544</v>
      </c>
      <c r="C14">
        <v>1</v>
      </c>
      <c r="D14" t="str">
        <f>TEXT(mergedcleandataset[[#This Row],[dteday]],"yyyy")</f>
        <v>2011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s="2">
        <f>DATE(mergedcleandataset[[#This Row],[yr]],mergedcleandataset[[#This Row],[mnth]],mergedcleandataset[[#This Row],[day]])</f>
        <v>40544</v>
      </c>
      <c r="R14">
        <f>DAY(mergedcleandataset[[#This Row],[dteday]])</f>
        <v>1</v>
      </c>
      <c r="S14" t="str">
        <f>IF(mergedcleandataset[[#This Row],[weekday]]&gt;=5,"Yes","No")</f>
        <v>Yes</v>
      </c>
      <c r="T14" t="b">
        <f>ISBLANK(mergedcleandataset[[#This Row],[atemp]])</f>
        <v>0</v>
      </c>
      <c r="U14" t="str">
        <f t="shared" si="0"/>
        <v>Spring</v>
      </c>
      <c r="V14" t="str">
        <f>TEXT(mergedcleandataset[[#This Row],[date]],"dddd")</f>
        <v>Saturday</v>
      </c>
      <c r="W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5" spans="1:23" x14ac:dyDescent="0.25">
      <c r="A15">
        <v>14</v>
      </c>
      <c r="B15" s="1">
        <v>40544</v>
      </c>
      <c r="C15">
        <v>1</v>
      </c>
      <c r="D15" t="str">
        <f>TEXT(mergedcleandataset[[#This Row],[dteday]],"yyyy")</f>
        <v>2011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s="2">
        <f>DATE(mergedcleandataset[[#This Row],[yr]],mergedcleandataset[[#This Row],[mnth]],mergedcleandataset[[#This Row],[day]])</f>
        <v>40544</v>
      </c>
      <c r="R15">
        <f>DAY(mergedcleandataset[[#This Row],[dteday]])</f>
        <v>1</v>
      </c>
      <c r="S15" t="str">
        <f>IF(mergedcleandataset[[#This Row],[weekday]]&gt;=5,"Yes","No")</f>
        <v>Yes</v>
      </c>
      <c r="T15" t="b">
        <f>ISBLANK(mergedcleandataset[[#This Row],[atemp]])</f>
        <v>0</v>
      </c>
      <c r="U15" t="str">
        <f t="shared" si="0"/>
        <v>Spring</v>
      </c>
      <c r="V15" t="str">
        <f>TEXT(mergedcleandataset[[#This Row],[date]],"dddd")</f>
        <v>Saturday</v>
      </c>
      <c r="W1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" spans="1:23" x14ac:dyDescent="0.25">
      <c r="A16">
        <v>15</v>
      </c>
      <c r="B16" s="1">
        <v>40544</v>
      </c>
      <c r="C16">
        <v>1</v>
      </c>
      <c r="D16" t="str">
        <f>TEXT(mergedcleandataset[[#This Row],[dteday]],"yyyy")</f>
        <v>2011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s="2">
        <f>DATE(mergedcleandataset[[#This Row],[yr]],mergedcleandataset[[#This Row],[mnth]],mergedcleandataset[[#This Row],[day]])</f>
        <v>40544</v>
      </c>
      <c r="R16">
        <f>DAY(mergedcleandataset[[#This Row],[dteday]])</f>
        <v>1</v>
      </c>
      <c r="S16" t="str">
        <f>IF(mergedcleandataset[[#This Row],[weekday]]&gt;=5,"Yes","No")</f>
        <v>Yes</v>
      </c>
      <c r="T16" t="b">
        <f>ISBLANK(mergedcleandataset[[#This Row],[atemp]])</f>
        <v>0</v>
      </c>
      <c r="U16" t="str">
        <f t="shared" si="0"/>
        <v>Spring</v>
      </c>
      <c r="V16" t="str">
        <f>TEXT(mergedcleandataset[[#This Row],[date]],"dddd")</f>
        <v>Saturday</v>
      </c>
      <c r="W1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7" spans="1:23" x14ac:dyDescent="0.25">
      <c r="A17">
        <v>16</v>
      </c>
      <c r="B17" s="1">
        <v>40544</v>
      </c>
      <c r="C17">
        <v>1</v>
      </c>
      <c r="D17" t="str">
        <f>TEXT(mergedcleandataset[[#This Row],[dteday]],"yyyy")</f>
        <v>2011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s="2">
        <f>DATE(mergedcleandataset[[#This Row],[yr]],mergedcleandataset[[#This Row],[mnth]],mergedcleandataset[[#This Row],[day]])</f>
        <v>40544</v>
      </c>
      <c r="R17">
        <f>DAY(mergedcleandataset[[#This Row],[dteday]])</f>
        <v>1</v>
      </c>
      <c r="S17" t="str">
        <f>IF(mergedcleandataset[[#This Row],[weekday]]&gt;=5,"Yes","No")</f>
        <v>Yes</v>
      </c>
      <c r="T17" t="b">
        <f>ISBLANK(mergedcleandataset[[#This Row],[atemp]])</f>
        <v>0</v>
      </c>
      <c r="U17" t="str">
        <f t="shared" si="0"/>
        <v>Spring</v>
      </c>
      <c r="V17" t="str">
        <f>TEXT(mergedcleandataset[[#This Row],[date]],"dddd")</f>
        <v>Saturday</v>
      </c>
      <c r="W1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8" spans="1:23" x14ac:dyDescent="0.25">
      <c r="A18">
        <v>17</v>
      </c>
      <c r="B18" s="1">
        <v>40544</v>
      </c>
      <c r="C18">
        <v>1</v>
      </c>
      <c r="D18" t="str">
        <f>TEXT(mergedcleandataset[[#This Row],[dteday]],"yyyy")</f>
        <v>2011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s="2">
        <f>DATE(mergedcleandataset[[#This Row],[yr]],mergedcleandataset[[#This Row],[mnth]],mergedcleandataset[[#This Row],[day]])</f>
        <v>40544</v>
      </c>
      <c r="R18">
        <f>DAY(mergedcleandataset[[#This Row],[dteday]])</f>
        <v>1</v>
      </c>
      <c r="S18" t="str">
        <f>IF(mergedcleandataset[[#This Row],[weekday]]&gt;=5,"Yes","No")</f>
        <v>Yes</v>
      </c>
      <c r="T18" t="b">
        <f>ISBLANK(mergedcleandataset[[#This Row],[atemp]])</f>
        <v>0</v>
      </c>
      <c r="U18" t="str">
        <f t="shared" si="0"/>
        <v>Spring</v>
      </c>
      <c r="V18" t="str">
        <f>TEXT(mergedcleandataset[[#This Row],[date]],"dddd")</f>
        <v>Saturday</v>
      </c>
      <c r="W1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9" spans="1:23" x14ac:dyDescent="0.25">
      <c r="A19">
        <v>18</v>
      </c>
      <c r="B19" s="1">
        <v>40544</v>
      </c>
      <c r="C19">
        <v>1</v>
      </c>
      <c r="D19" t="str">
        <f>TEXT(mergedcleandataset[[#This Row],[dteday]],"yyyy")</f>
        <v>2011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s="2">
        <f>DATE(mergedcleandataset[[#This Row],[yr]],mergedcleandataset[[#This Row],[mnth]],mergedcleandataset[[#This Row],[day]])</f>
        <v>40544</v>
      </c>
      <c r="R19">
        <f>DAY(mergedcleandataset[[#This Row],[dteday]])</f>
        <v>1</v>
      </c>
      <c r="S19" t="str">
        <f>IF(mergedcleandataset[[#This Row],[weekday]]&gt;=5,"Yes","No")</f>
        <v>Yes</v>
      </c>
      <c r="T19" t="b">
        <f>ISBLANK(mergedcleandataset[[#This Row],[atemp]])</f>
        <v>1</v>
      </c>
      <c r="U19" t="str">
        <f t="shared" si="0"/>
        <v>Spring</v>
      </c>
      <c r="V19" t="str">
        <f>TEXT(mergedcleandataset[[#This Row],[date]],"dddd")</f>
        <v>Saturday</v>
      </c>
      <c r="W1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0" spans="1:23" x14ac:dyDescent="0.25">
      <c r="A20">
        <v>19</v>
      </c>
      <c r="B20" s="1">
        <v>40544</v>
      </c>
      <c r="C20">
        <v>1</v>
      </c>
      <c r="D20" t="str">
        <f>TEXT(mergedcleandataset[[#This Row],[dteday]],"yyyy")</f>
        <v>2011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s="2">
        <f>DATE(mergedcleandataset[[#This Row],[yr]],mergedcleandataset[[#This Row],[mnth]],mergedcleandataset[[#This Row],[day]])</f>
        <v>40544</v>
      </c>
      <c r="R20">
        <f>DAY(mergedcleandataset[[#This Row],[dteday]])</f>
        <v>1</v>
      </c>
      <c r="S20" t="str">
        <f>IF(mergedcleandataset[[#This Row],[weekday]]&gt;=5,"Yes","No")</f>
        <v>Yes</v>
      </c>
      <c r="T20" t="b">
        <f>ISBLANK(mergedcleandataset[[#This Row],[atemp]])</f>
        <v>0</v>
      </c>
      <c r="U20" t="str">
        <f t="shared" si="0"/>
        <v>Spring</v>
      </c>
      <c r="V20" t="str">
        <f>TEXT(mergedcleandataset[[#This Row],[date]],"dddd")</f>
        <v>Saturday</v>
      </c>
      <c r="W2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1" spans="1:23" x14ac:dyDescent="0.25">
      <c r="A21">
        <v>20</v>
      </c>
      <c r="B21" s="1">
        <v>40544</v>
      </c>
      <c r="C21">
        <v>1</v>
      </c>
      <c r="D21" t="str">
        <f>TEXT(mergedcleandataset[[#This Row],[dteday]],"yyyy")</f>
        <v>2011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s="2">
        <f>DATE(mergedcleandataset[[#This Row],[yr]],mergedcleandataset[[#This Row],[mnth]],mergedcleandataset[[#This Row],[day]])</f>
        <v>40544</v>
      </c>
      <c r="R21">
        <f>DAY(mergedcleandataset[[#This Row],[dteday]])</f>
        <v>1</v>
      </c>
      <c r="S21" t="str">
        <f>IF(mergedcleandataset[[#This Row],[weekday]]&gt;=5,"Yes","No")</f>
        <v>Yes</v>
      </c>
      <c r="T21" t="b">
        <f>ISBLANK(mergedcleandataset[[#This Row],[atemp]])</f>
        <v>0</v>
      </c>
      <c r="U21" t="str">
        <f t="shared" si="0"/>
        <v>Spring</v>
      </c>
      <c r="V21" t="str">
        <f>TEXT(mergedcleandataset[[#This Row],[date]],"dddd")</f>
        <v>Saturday</v>
      </c>
      <c r="W2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2" spans="1:23" x14ac:dyDescent="0.25">
      <c r="A22">
        <v>21</v>
      </c>
      <c r="B22" s="1">
        <v>40544</v>
      </c>
      <c r="C22">
        <v>1</v>
      </c>
      <c r="D22" t="str">
        <f>TEXT(mergedcleandataset[[#This Row],[dteday]],"yyyy")</f>
        <v>2011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s="2">
        <f>DATE(mergedcleandataset[[#This Row],[yr]],mergedcleandataset[[#This Row],[mnth]],mergedcleandataset[[#This Row],[day]])</f>
        <v>40544</v>
      </c>
      <c r="R22">
        <f>DAY(mergedcleandataset[[#This Row],[dteday]])</f>
        <v>1</v>
      </c>
      <c r="S22" t="str">
        <f>IF(mergedcleandataset[[#This Row],[weekday]]&gt;=5,"Yes","No")</f>
        <v>Yes</v>
      </c>
      <c r="T22" t="b">
        <f>ISBLANK(mergedcleandataset[[#This Row],[atemp]])</f>
        <v>0</v>
      </c>
      <c r="U22" t="str">
        <f t="shared" si="0"/>
        <v>Spring</v>
      </c>
      <c r="V22" t="str">
        <f>TEXT(mergedcleandataset[[#This Row],[date]],"dddd")</f>
        <v>Saturday</v>
      </c>
      <c r="W2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3" spans="1:23" x14ac:dyDescent="0.25">
      <c r="A23">
        <v>22</v>
      </c>
      <c r="B23" s="1">
        <v>40544</v>
      </c>
      <c r="C23">
        <v>1</v>
      </c>
      <c r="D23" t="str">
        <f>TEXT(mergedcleandataset[[#This Row],[dteday]],"yyyy")</f>
        <v>2011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s="2">
        <f>DATE(mergedcleandataset[[#This Row],[yr]],mergedcleandataset[[#This Row],[mnth]],mergedcleandataset[[#This Row],[day]])</f>
        <v>40544</v>
      </c>
      <c r="R23">
        <f>DAY(mergedcleandataset[[#This Row],[dteday]])</f>
        <v>1</v>
      </c>
      <c r="S23" t="str">
        <f>IF(mergedcleandataset[[#This Row],[weekday]]&gt;=5,"Yes","No")</f>
        <v>Yes</v>
      </c>
      <c r="T23" t="b">
        <f>ISBLANK(mergedcleandataset[[#This Row],[atemp]])</f>
        <v>0</v>
      </c>
      <c r="U23" t="str">
        <f t="shared" si="0"/>
        <v>Spring</v>
      </c>
      <c r="V23" t="str">
        <f>TEXT(mergedcleandataset[[#This Row],[date]],"dddd")</f>
        <v>Saturday</v>
      </c>
      <c r="W2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" spans="1:23" x14ac:dyDescent="0.25">
      <c r="A24">
        <v>23</v>
      </c>
      <c r="B24" s="1">
        <v>40544</v>
      </c>
      <c r="C24">
        <v>1</v>
      </c>
      <c r="D24" t="str">
        <f>TEXT(mergedcleandataset[[#This Row],[dteday]],"yyyy")</f>
        <v>2011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s="2">
        <f>DATE(mergedcleandataset[[#This Row],[yr]],mergedcleandataset[[#This Row],[mnth]],mergedcleandataset[[#This Row],[day]])</f>
        <v>40544</v>
      </c>
      <c r="R24">
        <f>DAY(mergedcleandataset[[#This Row],[dteday]])</f>
        <v>1</v>
      </c>
      <c r="S24" t="str">
        <f>IF(mergedcleandataset[[#This Row],[weekday]]&gt;=5,"Yes","No")</f>
        <v>Yes</v>
      </c>
      <c r="T24" t="b">
        <f>ISBLANK(mergedcleandataset[[#This Row],[atemp]])</f>
        <v>0</v>
      </c>
      <c r="U24" t="str">
        <f t="shared" si="0"/>
        <v>Spring</v>
      </c>
      <c r="V24" t="str">
        <f>TEXT(mergedcleandataset[[#This Row],[date]],"dddd")</f>
        <v>Saturday</v>
      </c>
      <c r="W2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5" spans="1:23" x14ac:dyDescent="0.25">
      <c r="A25">
        <v>24</v>
      </c>
      <c r="B25" s="1">
        <v>40544</v>
      </c>
      <c r="C25">
        <v>1</v>
      </c>
      <c r="D25" t="str">
        <f>TEXT(mergedcleandataset[[#This Row],[dteday]],"yyyy")</f>
        <v>2011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s="2">
        <f>DATE(mergedcleandataset[[#This Row],[yr]],mergedcleandataset[[#This Row],[mnth]],mergedcleandataset[[#This Row],[day]])</f>
        <v>40544</v>
      </c>
      <c r="R25">
        <f>DAY(mergedcleandataset[[#This Row],[dteday]])</f>
        <v>1</v>
      </c>
      <c r="S25" t="str">
        <f>IF(mergedcleandataset[[#This Row],[weekday]]&gt;=5,"Yes","No")</f>
        <v>Yes</v>
      </c>
      <c r="T25" t="b">
        <f>ISBLANK(mergedcleandataset[[#This Row],[atemp]])</f>
        <v>1</v>
      </c>
      <c r="U25" t="str">
        <f t="shared" si="0"/>
        <v>Spring</v>
      </c>
      <c r="V25" t="str">
        <f>TEXT(mergedcleandataset[[#This Row],[date]],"dddd")</f>
        <v>Saturday</v>
      </c>
      <c r="W2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6" spans="1:23" x14ac:dyDescent="0.25">
      <c r="A26">
        <v>25</v>
      </c>
      <c r="B26" s="1">
        <v>40545</v>
      </c>
      <c r="C26">
        <v>1</v>
      </c>
      <c r="D26" t="str">
        <f>TEXT(mergedcleandataset[[#This Row],[dteday]],"yyyy")</f>
        <v>2011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s="2">
        <f>DATE(mergedcleandataset[[#This Row],[yr]],mergedcleandataset[[#This Row],[mnth]],mergedcleandataset[[#This Row],[day]])</f>
        <v>40545</v>
      </c>
      <c r="R26">
        <f>DAY(mergedcleandataset[[#This Row],[dteday]])</f>
        <v>2</v>
      </c>
      <c r="S26" t="str">
        <f>IF(mergedcleandataset[[#This Row],[weekday]]&gt;=5,"Yes","No")</f>
        <v>No</v>
      </c>
      <c r="T26" t="b">
        <f>ISBLANK(mergedcleandataset[[#This Row],[atemp]])</f>
        <v>0</v>
      </c>
      <c r="U26" t="str">
        <f t="shared" si="0"/>
        <v>Spring</v>
      </c>
      <c r="V26" t="str">
        <f>TEXT(mergedcleandataset[[#This Row],[date]],"dddd")</f>
        <v>Sunday</v>
      </c>
      <c r="W2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7" spans="1:23" x14ac:dyDescent="0.25">
      <c r="A27">
        <v>26</v>
      </c>
      <c r="B27" s="1">
        <v>40545</v>
      </c>
      <c r="C27">
        <v>1</v>
      </c>
      <c r="D27" t="str">
        <f>TEXT(mergedcleandataset[[#This Row],[dteday]],"yyyy")</f>
        <v>2011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s="2">
        <f>DATE(mergedcleandataset[[#This Row],[yr]],mergedcleandataset[[#This Row],[mnth]],mergedcleandataset[[#This Row],[day]])</f>
        <v>40545</v>
      </c>
      <c r="R27">
        <f>DAY(mergedcleandataset[[#This Row],[dteday]])</f>
        <v>2</v>
      </c>
      <c r="S27" t="str">
        <f>IF(mergedcleandataset[[#This Row],[weekday]]&gt;=5,"Yes","No")</f>
        <v>No</v>
      </c>
      <c r="T27" t="b">
        <f>ISBLANK(mergedcleandataset[[#This Row],[atemp]])</f>
        <v>0</v>
      </c>
      <c r="U27" t="str">
        <f t="shared" si="0"/>
        <v>Spring</v>
      </c>
      <c r="V27" t="str">
        <f>TEXT(mergedcleandataset[[#This Row],[date]],"dddd")</f>
        <v>Sunday</v>
      </c>
      <c r="W2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8" spans="1:23" x14ac:dyDescent="0.25">
      <c r="A28">
        <v>27</v>
      </c>
      <c r="B28" s="1">
        <v>40545</v>
      </c>
      <c r="C28">
        <v>1</v>
      </c>
      <c r="D28" t="str">
        <f>TEXT(mergedcleandataset[[#This Row],[dteday]],"yyyy")</f>
        <v>2011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s="2">
        <f>DATE(mergedcleandataset[[#This Row],[yr]],mergedcleandataset[[#This Row],[mnth]],mergedcleandataset[[#This Row],[day]])</f>
        <v>40545</v>
      </c>
      <c r="R28">
        <f>DAY(mergedcleandataset[[#This Row],[dteday]])</f>
        <v>2</v>
      </c>
      <c r="S28" t="str">
        <f>IF(mergedcleandataset[[#This Row],[weekday]]&gt;=5,"Yes","No")</f>
        <v>No</v>
      </c>
      <c r="T28" t="b">
        <f>ISBLANK(mergedcleandataset[[#This Row],[atemp]])</f>
        <v>0</v>
      </c>
      <c r="U28" t="str">
        <f t="shared" si="0"/>
        <v>Spring</v>
      </c>
      <c r="V28" t="str">
        <f>TEXT(mergedcleandataset[[#This Row],[date]],"dddd")</f>
        <v>Sunday</v>
      </c>
      <c r="W2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9" spans="1:23" x14ac:dyDescent="0.25">
      <c r="A29">
        <v>28</v>
      </c>
      <c r="B29" s="1">
        <v>40545</v>
      </c>
      <c r="C29">
        <v>1</v>
      </c>
      <c r="D29" t="str">
        <f>TEXT(mergedcleandataset[[#This Row],[dteday]],"yyyy")</f>
        <v>2011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s="2">
        <f>DATE(mergedcleandataset[[#This Row],[yr]],mergedcleandataset[[#This Row],[mnth]],mergedcleandataset[[#This Row],[day]])</f>
        <v>40545</v>
      </c>
      <c r="R29">
        <f>DAY(mergedcleandataset[[#This Row],[dteday]])</f>
        <v>2</v>
      </c>
      <c r="S29" t="str">
        <f>IF(mergedcleandataset[[#This Row],[weekday]]&gt;=5,"Yes","No")</f>
        <v>No</v>
      </c>
      <c r="T29" t="b">
        <f>ISBLANK(mergedcleandataset[[#This Row],[atemp]])</f>
        <v>0</v>
      </c>
      <c r="U29" t="str">
        <f t="shared" si="0"/>
        <v>Spring</v>
      </c>
      <c r="V29" t="str">
        <f>TEXT(mergedcleandataset[[#This Row],[date]],"dddd")</f>
        <v>Sunday</v>
      </c>
      <c r="W2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0" spans="1:23" x14ac:dyDescent="0.25">
      <c r="A30">
        <v>29</v>
      </c>
      <c r="B30" s="1">
        <v>40545</v>
      </c>
      <c r="C30">
        <v>1</v>
      </c>
      <c r="D30" t="str">
        <f>TEXT(mergedcleandataset[[#This Row],[dteday]],"yyyy")</f>
        <v>2011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s="2">
        <f>DATE(mergedcleandataset[[#This Row],[yr]],mergedcleandataset[[#This Row],[mnth]],mergedcleandataset[[#This Row],[day]])</f>
        <v>40545</v>
      </c>
      <c r="R30">
        <f>DAY(mergedcleandataset[[#This Row],[dteday]])</f>
        <v>2</v>
      </c>
      <c r="S30" t="str">
        <f>IF(mergedcleandataset[[#This Row],[weekday]]&gt;=5,"Yes","No")</f>
        <v>No</v>
      </c>
      <c r="T30" t="b">
        <f>ISBLANK(mergedcleandataset[[#This Row],[atemp]])</f>
        <v>1</v>
      </c>
      <c r="U30" t="str">
        <f t="shared" si="0"/>
        <v>Spring</v>
      </c>
      <c r="V30" t="str">
        <f>TEXT(mergedcleandataset[[#This Row],[date]],"dddd")</f>
        <v>Sunday</v>
      </c>
      <c r="W3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1" spans="1:23" x14ac:dyDescent="0.25">
      <c r="A31">
        <v>30</v>
      </c>
      <c r="B31" s="1">
        <v>40545</v>
      </c>
      <c r="C31">
        <v>1</v>
      </c>
      <c r="D31" t="str">
        <f>TEXT(mergedcleandataset[[#This Row],[dteday]],"yyyy")</f>
        <v>2011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s="2">
        <f>DATE(mergedcleandataset[[#This Row],[yr]],mergedcleandataset[[#This Row],[mnth]],mergedcleandataset[[#This Row],[day]])</f>
        <v>40545</v>
      </c>
      <c r="R31">
        <f>DAY(mergedcleandataset[[#This Row],[dteday]])</f>
        <v>2</v>
      </c>
      <c r="S31" t="str">
        <f>IF(mergedcleandataset[[#This Row],[weekday]]&gt;=5,"Yes","No")</f>
        <v>No</v>
      </c>
      <c r="T31" t="b">
        <f>ISBLANK(mergedcleandataset[[#This Row],[atemp]])</f>
        <v>0</v>
      </c>
      <c r="U31" t="str">
        <f t="shared" si="0"/>
        <v>Spring</v>
      </c>
      <c r="V31" t="str">
        <f>TEXT(mergedcleandataset[[#This Row],[date]],"dddd")</f>
        <v>Sunday</v>
      </c>
      <c r="W3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2" spans="1:23" x14ac:dyDescent="0.25">
      <c r="A32">
        <v>31</v>
      </c>
      <c r="B32" s="1">
        <v>40545</v>
      </c>
      <c r="C32">
        <v>1</v>
      </c>
      <c r="D32" t="str">
        <f>TEXT(mergedcleandataset[[#This Row],[dteday]],"yyyy")</f>
        <v>2011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s="2">
        <f>DATE(mergedcleandataset[[#This Row],[yr]],mergedcleandataset[[#This Row],[mnth]],mergedcleandataset[[#This Row],[day]])</f>
        <v>40545</v>
      </c>
      <c r="R32">
        <f>DAY(mergedcleandataset[[#This Row],[dteday]])</f>
        <v>2</v>
      </c>
      <c r="S32" t="str">
        <f>IF(mergedcleandataset[[#This Row],[weekday]]&gt;=5,"Yes","No")</f>
        <v>No</v>
      </c>
      <c r="T32" t="b">
        <f>ISBLANK(mergedcleandataset[[#This Row],[atemp]])</f>
        <v>0</v>
      </c>
      <c r="U32" t="str">
        <f t="shared" si="0"/>
        <v>Spring</v>
      </c>
      <c r="V32" t="str">
        <f>TEXT(mergedcleandataset[[#This Row],[date]],"dddd")</f>
        <v>Sunday</v>
      </c>
      <c r="W3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3" spans="1:23" x14ac:dyDescent="0.25">
      <c r="A33">
        <v>32</v>
      </c>
      <c r="B33" s="1">
        <v>40545</v>
      </c>
      <c r="C33">
        <v>1</v>
      </c>
      <c r="D33" t="str">
        <f>TEXT(mergedcleandataset[[#This Row],[dteday]],"yyyy")</f>
        <v>2011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s="2">
        <f>DATE(mergedcleandataset[[#This Row],[yr]],mergedcleandataset[[#This Row],[mnth]],mergedcleandataset[[#This Row],[day]])</f>
        <v>40545</v>
      </c>
      <c r="R33">
        <f>DAY(mergedcleandataset[[#This Row],[dteday]])</f>
        <v>2</v>
      </c>
      <c r="S33" t="str">
        <f>IF(mergedcleandataset[[#This Row],[weekday]]&gt;=5,"Yes","No")</f>
        <v>No</v>
      </c>
      <c r="T33" t="b">
        <f>ISBLANK(mergedcleandataset[[#This Row],[atemp]])</f>
        <v>0</v>
      </c>
      <c r="U33" t="str">
        <f t="shared" si="0"/>
        <v>Spring</v>
      </c>
      <c r="V33" t="str">
        <f>TEXT(mergedcleandataset[[#This Row],[date]],"dddd")</f>
        <v>Sunday</v>
      </c>
      <c r="W3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4" spans="1:23" x14ac:dyDescent="0.25">
      <c r="A34">
        <v>33</v>
      </c>
      <c r="B34" s="1">
        <v>40545</v>
      </c>
      <c r="C34">
        <v>1</v>
      </c>
      <c r="D34" t="str">
        <f>TEXT(mergedcleandataset[[#This Row],[dteday]],"yyyy")</f>
        <v>2011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s="2">
        <f>DATE(mergedcleandataset[[#This Row],[yr]],mergedcleandataset[[#This Row],[mnth]],mergedcleandataset[[#This Row],[day]])</f>
        <v>40545</v>
      </c>
      <c r="R34">
        <f>DAY(mergedcleandataset[[#This Row],[dteday]])</f>
        <v>2</v>
      </c>
      <c r="S34" t="str">
        <f>IF(mergedcleandataset[[#This Row],[weekday]]&gt;=5,"Yes","No")</f>
        <v>No</v>
      </c>
      <c r="T34" t="b">
        <f>ISBLANK(mergedcleandataset[[#This Row],[atemp]])</f>
        <v>1</v>
      </c>
      <c r="U34" t="str">
        <f t="shared" si="0"/>
        <v>Spring</v>
      </c>
      <c r="V34" t="str">
        <f>TEXT(mergedcleandataset[[#This Row],[date]],"dddd")</f>
        <v>Sunday</v>
      </c>
      <c r="W3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5" spans="1:23" x14ac:dyDescent="0.25">
      <c r="A35">
        <v>34</v>
      </c>
      <c r="B35" s="1">
        <v>40545</v>
      </c>
      <c r="C35">
        <v>1</v>
      </c>
      <c r="D35" t="str">
        <f>TEXT(mergedcleandataset[[#This Row],[dteday]],"yyyy")</f>
        <v>2011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s="2">
        <f>DATE(mergedcleandataset[[#This Row],[yr]],mergedcleandataset[[#This Row],[mnth]],mergedcleandataset[[#This Row],[day]])</f>
        <v>40545</v>
      </c>
      <c r="R35">
        <f>DAY(mergedcleandataset[[#This Row],[dteday]])</f>
        <v>2</v>
      </c>
      <c r="S35" t="str">
        <f>IF(mergedcleandataset[[#This Row],[weekday]]&gt;=5,"Yes","No")</f>
        <v>No</v>
      </c>
      <c r="T35" t="b">
        <f>ISBLANK(mergedcleandataset[[#This Row],[atemp]])</f>
        <v>0</v>
      </c>
      <c r="U35" t="str">
        <f t="shared" si="0"/>
        <v>Spring</v>
      </c>
      <c r="V35" t="str">
        <f>TEXT(mergedcleandataset[[#This Row],[date]],"dddd")</f>
        <v>Sunday</v>
      </c>
      <c r="W3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6" spans="1:23" x14ac:dyDescent="0.25">
      <c r="A36">
        <v>35</v>
      </c>
      <c r="B36" s="1">
        <v>40545</v>
      </c>
      <c r="C36">
        <v>1</v>
      </c>
      <c r="D36" t="str">
        <f>TEXT(mergedcleandataset[[#This Row],[dteday]],"yyyy")</f>
        <v>2011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s="2">
        <f>DATE(mergedcleandataset[[#This Row],[yr]],mergedcleandataset[[#This Row],[mnth]],mergedcleandataset[[#This Row],[day]])</f>
        <v>40545</v>
      </c>
      <c r="R36">
        <f>DAY(mergedcleandataset[[#This Row],[dteday]])</f>
        <v>2</v>
      </c>
      <c r="S36" t="str">
        <f>IF(mergedcleandataset[[#This Row],[weekday]]&gt;=5,"Yes","No")</f>
        <v>No</v>
      </c>
      <c r="T36" t="b">
        <f>ISBLANK(mergedcleandataset[[#This Row],[atemp]])</f>
        <v>0</v>
      </c>
      <c r="U36" t="str">
        <f t="shared" si="0"/>
        <v>Spring</v>
      </c>
      <c r="V36" t="str">
        <f>TEXT(mergedcleandataset[[#This Row],[date]],"dddd")</f>
        <v>Sunday</v>
      </c>
      <c r="W3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" spans="1:23" x14ac:dyDescent="0.25">
      <c r="A37">
        <v>36</v>
      </c>
      <c r="B37" s="1">
        <v>40545</v>
      </c>
      <c r="C37">
        <v>1</v>
      </c>
      <c r="D37" t="str">
        <f>TEXT(mergedcleandataset[[#This Row],[dteday]],"yyyy")</f>
        <v>2011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s="2">
        <f>DATE(mergedcleandataset[[#This Row],[yr]],mergedcleandataset[[#This Row],[mnth]],mergedcleandataset[[#This Row],[day]])</f>
        <v>40545</v>
      </c>
      <c r="R37">
        <f>DAY(mergedcleandataset[[#This Row],[dteday]])</f>
        <v>2</v>
      </c>
      <c r="S37" t="str">
        <f>IF(mergedcleandataset[[#This Row],[weekday]]&gt;=5,"Yes","No")</f>
        <v>No</v>
      </c>
      <c r="T37" t="b">
        <f>ISBLANK(mergedcleandataset[[#This Row],[atemp]])</f>
        <v>0</v>
      </c>
      <c r="U37" t="str">
        <f t="shared" si="0"/>
        <v>Spring</v>
      </c>
      <c r="V37" t="str">
        <f>TEXT(mergedcleandataset[[#This Row],[date]],"dddd")</f>
        <v>Sunday</v>
      </c>
      <c r="W3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" spans="1:23" x14ac:dyDescent="0.25">
      <c r="A38">
        <v>37</v>
      </c>
      <c r="B38" s="1">
        <v>40545</v>
      </c>
      <c r="C38">
        <v>1</v>
      </c>
      <c r="D38" t="str">
        <f>TEXT(mergedcleandataset[[#This Row],[dteday]],"yyyy")</f>
        <v>2011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s="2">
        <f>DATE(mergedcleandataset[[#This Row],[yr]],mergedcleandataset[[#This Row],[mnth]],mergedcleandataset[[#This Row],[day]])</f>
        <v>40545</v>
      </c>
      <c r="R38">
        <f>DAY(mergedcleandataset[[#This Row],[dteday]])</f>
        <v>2</v>
      </c>
      <c r="S38" t="str">
        <f>IF(mergedcleandataset[[#This Row],[weekday]]&gt;=5,"Yes","No")</f>
        <v>No</v>
      </c>
      <c r="T38" t="b">
        <f>ISBLANK(mergedcleandataset[[#This Row],[atemp]])</f>
        <v>0</v>
      </c>
      <c r="U38" t="str">
        <f t="shared" si="0"/>
        <v>Spring</v>
      </c>
      <c r="V38" t="str">
        <f>TEXT(mergedcleandataset[[#This Row],[date]],"dddd")</f>
        <v>Sunday</v>
      </c>
      <c r="W3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9" spans="1:23" x14ac:dyDescent="0.25">
      <c r="A39">
        <v>38</v>
      </c>
      <c r="B39" s="1">
        <v>40545</v>
      </c>
      <c r="C39">
        <v>1</v>
      </c>
      <c r="D39" t="str">
        <f>TEXT(mergedcleandataset[[#This Row],[dteday]],"yyyy")</f>
        <v>2011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s="2">
        <f>DATE(mergedcleandataset[[#This Row],[yr]],mergedcleandataset[[#This Row],[mnth]],mergedcleandataset[[#This Row],[day]])</f>
        <v>40545</v>
      </c>
      <c r="R39">
        <f>DAY(mergedcleandataset[[#This Row],[dteday]])</f>
        <v>2</v>
      </c>
      <c r="S39" t="str">
        <f>IF(mergedcleandataset[[#This Row],[weekday]]&gt;=5,"Yes","No")</f>
        <v>No</v>
      </c>
      <c r="T39" t="b">
        <f>ISBLANK(mergedcleandataset[[#This Row],[atemp]])</f>
        <v>1</v>
      </c>
      <c r="U39" t="str">
        <f t="shared" si="0"/>
        <v>Spring</v>
      </c>
      <c r="V39" t="str">
        <f>TEXT(mergedcleandataset[[#This Row],[date]],"dddd")</f>
        <v>Sunday</v>
      </c>
      <c r="W3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0" spans="1:23" x14ac:dyDescent="0.25">
      <c r="A40">
        <v>39</v>
      </c>
      <c r="B40" s="1">
        <v>40545</v>
      </c>
      <c r="C40">
        <v>1</v>
      </c>
      <c r="D40" t="str">
        <f>TEXT(mergedcleandataset[[#This Row],[dteday]],"yyyy")</f>
        <v>2011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s="2">
        <f>DATE(mergedcleandataset[[#This Row],[yr]],mergedcleandataset[[#This Row],[mnth]],mergedcleandataset[[#This Row],[day]])</f>
        <v>40545</v>
      </c>
      <c r="R40">
        <f>DAY(mergedcleandataset[[#This Row],[dteday]])</f>
        <v>2</v>
      </c>
      <c r="S40" t="str">
        <f>IF(mergedcleandataset[[#This Row],[weekday]]&gt;=5,"Yes","No")</f>
        <v>No</v>
      </c>
      <c r="T40" t="b">
        <f>ISBLANK(mergedcleandataset[[#This Row],[atemp]])</f>
        <v>0</v>
      </c>
      <c r="U40" t="str">
        <f t="shared" si="0"/>
        <v>Spring</v>
      </c>
      <c r="V40" t="str">
        <f>TEXT(mergedcleandataset[[#This Row],[date]],"dddd")</f>
        <v>Sunday</v>
      </c>
      <c r="W4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1" spans="1:23" x14ac:dyDescent="0.25">
      <c r="A41">
        <v>40</v>
      </c>
      <c r="B41" s="1">
        <v>40545</v>
      </c>
      <c r="C41">
        <v>1</v>
      </c>
      <c r="D41" t="str">
        <f>TEXT(mergedcleandataset[[#This Row],[dteday]],"yyyy")</f>
        <v>2011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s="2">
        <f>DATE(mergedcleandataset[[#This Row],[yr]],mergedcleandataset[[#This Row],[mnth]],mergedcleandataset[[#This Row],[day]])</f>
        <v>40545</v>
      </c>
      <c r="R41">
        <f>DAY(mergedcleandataset[[#This Row],[dteday]])</f>
        <v>2</v>
      </c>
      <c r="S41" t="str">
        <f>IF(mergedcleandataset[[#This Row],[weekday]]&gt;=5,"Yes","No")</f>
        <v>No</v>
      </c>
      <c r="T41" t="b">
        <f>ISBLANK(mergedcleandataset[[#This Row],[atemp]])</f>
        <v>0</v>
      </c>
      <c r="U41" t="str">
        <f t="shared" si="0"/>
        <v>Spring</v>
      </c>
      <c r="V41" t="str">
        <f>TEXT(mergedcleandataset[[#This Row],[date]],"dddd")</f>
        <v>Sunday</v>
      </c>
      <c r="W4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2" spans="1:23" x14ac:dyDescent="0.25">
      <c r="A42">
        <v>41</v>
      </c>
      <c r="B42" s="1">
        <v>40545</v>
      </c>
      <c r="C42">
        <v>1</v>
      </c>
      <c r="D42" t="str">
        <f>TEXT(mergedcleandataset[[#This Row],[dteday]],"yyyy")</f>
        <v>2011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s="2">
        <f>DATE(mergedcleandataset[[#This Row],[yr]],mergedcleandataset[[#This Row],[mnth]],mergedcleandataset[[#This Row],[day]])</f>
        <v>40545</v>
      </c>
      <c r="R42">
        <f>DAY(mergedcleandataset[[#This Row],[dteday]])</f>
        <v>2</v>
      </c>
      <c r="S42" t="str">
        <f>IF(mergedcleandataset[[#This Row],[weekday]]&gt;=5,"Yes","No")</f>
        <v>No</v>
      </c>
      <c r="T42" t="b">
        <f>ISBLANK(mergedcleandataset[[#This Row],[atemp]])</f>
        <v>0</v>
      </c>
      <c r="U42" t="str">
        <f t="shared" si="0"/>
        <v>Spring</v>
      </c>
      <c r="V42" t="str">
        <f>TEXT(mergedcleandataset[[#This Row],[date]],"dddd")</f>
        <v>Sunday</v>
      </c>
      <c r="W4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" spans="1:23" x14ac:dyDescent="0.25">
      <c r="A43">
        <v>42</v>
      </c>
      <c r="B43" s="1">
        <v>40545</v>
      </c>
      <c r="C43">
        <v>1</v>
      </c>
      <c r="D43" t="str">
        <f>TEXT(mergedcleandataset[[#This Row],[dteday]],"yyyy")</f>
        <v>2011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s="2">
        <f>DATE(mergedcleandataset[[#This Row],[yr]],mergedcleandataset[[#This Row],[mnth]],mergedcleandataset[[#This Row],[day]])</f>
        <v>40545</v>
      </c>
      <c r="R43">
        <f>DAY(mergedcleandataset[[#This Row],[dteday]])</f>
        <v>2</v>
      </c>
      <c r="S43" t="str">
        <f>IF(mergedcleandataset[[#This Row],[weekday]]&gt;=5,"Yes","No")</f>
        <v>No</v>
      </c>
      <c r="T43" t="b">
        <f>ISBLANK(mergedcleandataset[[#This Row],[atemp]])</f>
        <v>0</v>
      </c>
      <c r="U43" t="str">
        <f t="shared" si="0"/>
        <v>Spring</v>
      </c>
      <c r="V43" t="str">
        <f>TEXT(mergedcleandataset[[#This Row],[date]],"dddd")</f>
        <v>Sunday</v>
      </c>
      <c r="W4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" spans="1:23" x14ac:dyDescent="0.25">
      <c r="A44">
        <v>43</v>
      </c>
      <c r="B44" s="1">
        <v>40545</v>
      </c>
      <c r="C44">
        <v>1</v>
      </c>
      <c r="D44" t="str">
        <f>TEXT(mergedcleandataset[[#This Row],[dteday]],"yyyy")</f>
        <v>2011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s="2">
        <f>DATE(mergedcleandataset[[#This Row],[yr]],mergedcleandataset[[#This Row],[mnth]],mergedcleandataset[[#This Row],[day]])</f>
        <v>40545</v>
      </c>
      <c r="R44">
        <f>DAY(mergedcleandataset[[#This Row],[dteday]])</f>
        <v>2</v>
      </c>
      <c r="S44" t="str">
        <f>IF(mergedcleandataset[[#This Row],[weekday]]&gt;=5,"Yes","No")</f>
        <v>No</v>
      </c>
      <c r="T44" t="b">
        <f>ISBLANK(mergedcleandataset[[#This Row],[atemp]])</f>
        <v>0</v>
      </c>
      <c r="U44" t="str">
        <f t="shared" si="0"/>
        <v>Spring</v>
      </c>
      <c r="V44" t="str">
        <f>TEXT(mergedcleandataset[[#This Row],[date]],"dddd")</f>
        <v>Sunday</v>
      </c>
      <c r="W4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5" spans="1:23" x14ac:dyDescent="0.25">
      <c r="A45">
        <v>44</v>
      </c>
      <c r="B45" s="1">
        <v>40545</v>
      </c>
      <c r="C45">
        <v>1</v>
      </c>
      <c r="D45" t="str">
        <f>TEXT(mergedcleandataset[[#This Row],[dteday]],"yyyy")</f>
        <v>2011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s="2">
        <f>DATE(mergedcleandataset[[#This Row],[yr]],mergedcleandataset[[#This Row],[mnth]],mergedcleandataset[[#This Row],[day]])</f>
        <v>40545</v>
      </c>
      <c r="R45">
        <f>DAY(mergedcleandataset[[#This Row],[dteday]])</f>
        <v>2</v>
      </c>
      <c r="S45" t="str">
        <f>IF(mergedcleandataset[[#This Row],[weekday]]&gt;=5,"Yes","No")</f>
        <v>No</v>
      </c>
      <c r="T45" t="b">
        <f>ISBLANK(mergedcleandataset[[#This Row],[atemp]])</f>
        <v>1</v>
      </c>
      <c r="U45" t="str">
        <f t="shared" si="0"/>
        <v>Spring</v>
      </c>
      <c r="V45" t="str">
        <f>TEXT(mergedcleandataset[[#This Row],[date]],"dddd")</f>
        <v>Sunday</v>
      </c>
      <c r="W4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" spans="1:23" x14ac:dyDescent="0.25">
      <c r="A46">
        <v>45</v>
      </c>
      <c r="B46" s="1">
        <v>40545</v>
      </c>
      <c r="C46">
        <v>1</v>
      </c>
      <c r="D46" t="str">
        <f>TEXT(mergedcleandataset[[#This Row],[dteday]],"yyyy")</f>
        <v>2011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s="2">
        <f>DATE(mergedcleandataset[[#This Row],[yr]],mergedcleandataset[[#This Row],[mnth]],mergedcleandataset[[#This Row],[day]])</f>
        <v>40545</v>
      </c>
      <c r="R46">
        <f>DAY(mergedcleandataset[[#This Row],[dteday]])</f>
        <v>2</v>
      </c>
      <c r="S46" t="str">
        <f>IF(mergedcleandataset[[#This Row],[weekday]]&gt;=5,"Yes","No")</f>
        <v>No</v>
      </c>
      <c r="T46" t="b">
        <f>ISBLANK(mergedcleandataset[[#This Row],[atemp]])</f>
        <v>0</v>
      </c>
      <c r="U46" t="str">
        <f t="shared" si="0"/>
        <v>Spring</v>
      </c>
      <c r="V46" t="str">
        <f>TEXT(mergedcleandataset[[#This Row],[date]],"dddd")</f>
        <v>Sunday</v>
      </c>
      <c r="W4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" spans="1:23" x14ac:dyDescent="0.25">
      <c r="A47">
        <v>46</v>
      </c>
      <c r="B47" s="1">
        <v>40545</v>
      </c>
      <c r="C47">
        <v>1</v>
      </c>
      <c r="D47" t="str">
        <f>TEXT(mergedcleandataset[[#This Row],[dteday]],"yyyy")</f>
        <v>2011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s="2">
        <f>DATE(mergedcleandataset[[#This Row],[yr]],mergedcleandataset[[#This Row],[mnth]],mergedcleandataset[[#This Row],[day]])</f>
        <v>40545</v>
      </c>
      <c r="R47">
        <f>DAY(mergedcleandataset[[#This Row],[dteday]])</f>
        <v>2</v>
      </c>
      <c r="S47" t="str">
        <f>IF(mergedcleandataset[[#This Row],[weekday]]&gt;=5,"Yes","No")</f>
        <v>No</v>
      </c>
      <c r="T47" t="b">
        <f>ISBLANK(mergedcleandataset[[#This Row],[atemp]])</f>
        <v>0</v>
      </c>
      <c r="U47" t="str">
        <f t="shared" si="0"/>
        <v>Spring</v>
      </c>
      <c r="V47" t="str">
        <f>TEXT(mergedcleandataset[[#This Row],[date]],"dddd")</f>
        <v>Sunday</v>
      </c>
      <c r="W4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8" spans="1:23" x14ac:dyDescent="0.25">
      <c r="A48">
        <v>47</v>
      </c>
      <c r="B48" s="1">
        <v>40545</v>
      </c>
      <c r="C48">
        <v>1</v>
      </c>
      <c r="D48" t="str">
        <f>TEXT(mergedcleandataset[[#This Row],[dteday]],"yyyy")</f>
        <v>2011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s="2">
        <f>DATE(mergedcleandataset[[#This Row],[yr]],mergedcleandataset[[#This Row],[mnth]],mergedcleandataset[[#This Row],[day]])</f>
        <v>40545</v>
      </c>
      <c r="R48">
        <f>DAY(mergedcleandataset[[#This Row],[dteday]])</f>
        <v>2</v>
      </c>
      <c r="S48" t="str">
        <f>IF(mergedcleandataset[[#This Row],[weekday]]&gt;=5,"Yes","No")</f>
        <v>No</v>
      </c>
      <c r="T48" t="b">
        <f>ISBLANK(mergedcleandataset[[#This Row],[atemp]])</f>
        <v>0</v>
      </c>
      <c r="U48" t="str">
        <f t="shared" si="0"/>
        <v>Spring</v>
      </c>
      <c r="V48" t="str">
        <f>TEXT(mergedcleandataset[[#This Row],[date]],"dddd")</f>
        <v>Sunday</v>
      </c>
      <c r="W4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" spans="1:23" x14ac:dyDescent="0.25">
      <c r="A49">
        <v>48</v>
      </c>
      <c r="B49" s="1">
        <v>40546</v>
      </c>
      <c r="C49">
        <v>1</v>
      </c>
      <c r="D49" t="str">
        <f>TEXT(mergedcleandataset[[#This Row],[dteday]],"yyyy")</f>
        <v>2011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s="2">
        <f>DATE(mergedcleandataset[[#This Row],[yr]],mergedcleandataset[[#This Row],[mnth]],mergedcleandataset[[#This Row],[day]])</f>
        <v>40546</v>
      </c>
      <c r="R49">
        <f>DAY(mergedcleandataset[[#This Row],[dteday]])</f>
        <v>3</v>
      </c>
      <c r="S49" t="str">
        <f>IF(mergedcleandataset[[#This Row],[weekday]]&gt;=5,"Yes","No")</f>
        <v>No</v>
      </c>
      <c r="T49" t="b">
        <f>ISBLANK(mergedcleandataset[[#This Row],[atemp]])</f>
        <v>0</v>
      </c>
      <c r="U49" t="str">
        <f t="shared" si="0"/>
        <v>Spring</v>
      </c>
      <c r="V49" t="str">
        <f>TEXT(mergedcleandataset[[#This Row],[date]],"dddd")</f>
        <v>Monday</v>
      </c>
      <c r="W4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" spans="1:23" x14ac:dyDescent="0.25">
      <c r="A50">
        <v>49</v>
      </c>
      <c r="B50" s="1">
        <v>40546</v>
      </c>
      <c r="C50">
        <v>1</v>
      </c>
      <c r="D50" t="str">
        <f>TEXT(mergedcleandataset[[#This Row],[dteday]],"yyyy")</f>
        <v>2011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s="2">
        <f>DATE(mergedcleandataset[[#This Row],[yr]],mergedcleandataset[[#This Row],[mnth]],mergedcleandataset[[#This Row],[day]])</f>
        <v>40546</v>
      </c>
      <c r="R50">
        <f>DAY(mergedcleandataset[[#This Row],[dteday]])</f>
        <v>3</v>
      </c>
      <c r="S50" t="str">
        <f>IF(mergedcleandataset[[#This Row],[weekday]]&gt;=5,"Yes","No")</f>
        <v>No</v>
      </c>
      <c r="T50" t="b">
        <f>ISBLANK(mergedcleandataset[[#This Row],[atemp]])</f>
        <v>1</v>
      </c>
      <c r="U50" t="str">
        <f t="shared" si="0"/>
        <v>Spring</v>
      </c>
      <c r="V50" t="str">
        <f>TEXT(mergedcleandataset[[#This Row],[date]],"dddd")</f>
        <v>Monday</v>
      </c>
      <c r="W5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" spans="1:23" x14ac:dyDescent="0.25">
      <c r="A51">
        <v>50</v>
      </c>
      <c r="B51" s="1">
        <v>40546</v>
      </c>
      <c r="C51">
        <v>1</v>
      </c>
      <c r="D51" t="str">
        <f>TEXT(mergedcleandataset[[#This Row],[dteday]],"yyyy")</f>
        <v>2011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s="2">
        <f>DATE(mergedcleandataset[[#This Row],[yr]],mergedcleandataset[[#This Row],[mnth]],mergedcleandataset[[#This Row],[day]])</f>
        <v>40546</v>
      </c>
      <c r="R51">
        <f>DAY(mergedcleandataset[[#This Row],[dteday]])</f>
        <v>3</v>
      </c>
      <c r="S51" t="str">
        <f>IF(mergedcleandataset[[#This Row],[weekday]]&gt;=5,"Yes","No")</f>
        <v>No</v>
      </c>
      <c r="T51" t="b">
        <f>ISBLANK(mergedcleandataset[[#This Row],[atemp]])</f>
        <v>0</v>
      </c>
      <c r="U51" t="str">
        <f t="shared" si="0"/>
        <v>Spring</v>
      </c>
      <c r="V51" t="str">
        <f>TEXT(mergedcleandataset[[#This Row],[date]],"dddd")</f>
        <v>Monday</v>
      </c>
      <c r="W5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" spans="1:23" x14ac:dyDescent="0.25">
      <c r="A52">
        <v>51</v>
      </c>
      <c r="B52" s="1">
        <v>40546</v>
      </c>
      <c r="C52">
        <v>1</v>
      </c>
      <c r="D52" t="str">
        <f>TEXT(mergedcleandataset[[#This Row],[dteday]],"yyyy")</f>
        <v>2011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s="2">
        <f>DATE(mergedcleandataset[[#This Row],[yr]],mergedcleandataset[[#This Row],[mnth]],mergedcleandataset[[#This Row],[day]])</f>
        <v>40546</v>
      </c>
      <c r="R52">
        <f>DAY(mergedcleandataset[[#This Row],[dteday]])</f>
        <v>3</v>
      </c>
      <c r="S52" t="str">
        <f>IF(mergedcleandataset[[#This Row],[weekday]]&gt;=5,"Yes","No")</f>
        <v>No</v>
      </c>
      <c r="T52" t="b">
        <f>ISBLANK(mergedcleandataset[[#This Row],[atemp]])</f>
        <v>0</v>
      </c>
      <c r="U52" t="str">
        <f t="shared" si="0"/>
        <v>Spring</v>
      </c>
      <c r="V52" t="str">
        <f>TEXT(mergedcleandataset[[#This Row],[date]],"dddd")</f>
        <v>Monday</v>
      </c>
      <c r="W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" spans="1:23" x14ac:dyDescent="0.25">
      <c r="A53">
        <v>52</v>
      </c>
      <c r="B53" s="1">
        <v>40546</v>
      </c>
      <c r="C53">
        <v>1</v>
      </c>
      <c r="D53" t="str">
        <f>TEXT(mergedcleandataset[[#This Row],[dteday]],"yyyy")</f>
        <v>2011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s="2">
        <f>DATE(mergedcleandataset[[#This Row],[yr]],mergedcleandataset[[#This Row],[mnth]],mergedcleandataset[[#This Row],[day]])</f>
        <v>40546</v>
      </c>
      <c r="R53">
        <f>DAY(mergedcleandataset[[#This Row],[dteday]])</f>
        <v>3</v>
      </c>
      <c r="S53" t="str">
        <f>IF(mergedcleandataset[[#This Row],[weekday]]&gt;=5,"Yes","No")</f>
        <v>No</v>
      </c>
      <c r="T53" t="b">
        <f>ISBLANK(mergedcleandataset[[#This Row],[atemp]])</f>
        <v>0</v>
      </c>
      <c r="U53" t="str">
        <f t="shared" si="0"/>
        <v>Spring</v>
      </c>
      <c r="V53" t="str">
        <f>TEXT(mergedcleandataset[[#This Row],[date]],"dddd")</f>
        <v>Monday</v>
      </c>
      <c r="W5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" spans="1:23" x14ac:dyDescent="0.25">
      <c r="A54">
        <v>53</v>
      </c>
      <c r="B54" s="1">
        <v>40546</v>
      </c>
      <c r="C54">
        <v>1</v>
      </c>
      <c r="D54" t="str">
        <f>TEXT(mergedcleandataset[[#This Row],[dteday]],"yyyy")</f>
        <v>2011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s="2">
        <f>DATE(mergedcleandataset[[#This Row],[yr]],mergedcleandataset[[#This Row],[mnth]],mergedcleandataset[[#This Row],[day]])</f>
        <v>40546</v>
      </c>
      <c r="R54">
        <f>DAY(mergedcleandataset[[#This Row],[dteday]])</f>
        <v>3</v>
      </c>
      <c r="S54" t="str">
        <f>IF(mergedcleandataset[[#This Row],[weekday]]&gt;=5,"Yes","No")</f>
        <v>No</v>
      </c>
      <c r="T54" t="b">
        <f>ISBLANK(mergedcleandataset[[#This Row],[atemp]])</f>
        <v>0</v>
      </c>
      <c r="U54" t="str">
        <f t="shared" si="0"/>
        <v>Spring</v>
      </c>
      <c r="V54" t="str">
        <f>TEXT(mergedcleandataset[[#This Row],[date]],"dddd")</f>
        <v>Monday</v>
      </c>
      <c r="W5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5" spans="1:23" x14ac:dyDescent="0.25">
      <c r="A55">
        <v>54</v>
      </c>
      <c r="B55" s="1">
        <v>40546</v>
      </c>
      <c r="C55">
        <v>1</v>
      </c>
      <c r="D55" t="str">
        <f>TEXT(mergedcleandataset[[#This Row],[dteday]],"yyyy")</f>
        <v>2011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s="2">
        <f>DATE(mergedcleandataset[[#This Row],[yr]],mergedcleandataset[[#This Row],[mnth]],mergedcleandataset[[#This Row],[day]])</f>
        <v>40546</v>
      </c>
      <c r="R55">
        <f>DAY(mergedcleandataset[[#This Row],[dteday]])</f>
        <v>3</v>
      </c>
      <c r="S55" t="str">
        <f>IF(mergedcleandataset[[#This Row],[weekday]]&gt;=5,"Yes","No")</f>
        <v>No</v>
      </c>
      <c r="T55" t="b">
        <f>ISBLANK(mergedcleandataset[[#This Row],[atemp]])</f>
        <v>0</v>
      </c>
      <c r="U55" t="str">
        <f t="shared" si="0"/>
        <v>Spring</v>
      </c>
      <c r="V55" t="str">
        <f>TEXT(mergedcleandataset[[#This Row],[date]],"dddd")</f>
        <v>Monday</v>
      </c>
      <c r="W5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6" spans="1:23" x14ac:dyDescent="0.25">
      <c r="A56">
        <v>55</v>
      </c>
      <c r="B56" s="1">
        <v>40546</v>
      </c>
      <c r="C56">
        <v>1</v>
      </c>
      <c r="D56" t="str">
        <f>TEXT(mergedcleandataset[[#This Row],[dteday]],"yyyy")</f>
        <v>2011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s="2">
        <f>DATE(mergedcleandataset[[#This Row],[yr]],mergedcleandataset[[#This Row],[mnth]],mergedcleandataset[[#This Row],[day]])</f>
        <v>40546</v>
      </c>
      <c r="R56">
        <f>DAY(mergedcleandataset[[#This Row],[dteday]])</f>
        <v>3</v>
      </c>
      <c r="S56" t="str">
        <f>IF(mergedcleandataset[[#This Row],[weekday]]&gt;=5,"Yes","No")</f>
        <v>No</v>
      </c>
      <c r="T56" t="b">
        <f>ISBLANK(mergedcleandataset[[#This Row],[atemp]])</f>
        <v>0</v>
      </c>
      <c r="U56" t="str">
        <f t="shared" si="0"/>
        <v>Spring</v>
      </c>
      <c r="V56" t="str">
        <f>TEXT(mergedcleandataset[[#This Row],[date]],"dddd")</f>
        <v>Monday</v>
      </c>
      <c r="W5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7" spans="1:23" x14ac:dyDescent="0.25">
      <c r="A57">
        <v>56</v>
      </c>
      <c r="B57" s="1">
        <v>40546</v>
      </c>
      <c r="C57">
        <v>1</v>
      </c>
      <c r="D57" t="str">
        <f>TEXT(mergedcleandataset[[#This Row],[dteday]],"yyyy")</f>
        <v>2011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s="2">
        <f>DATE(mergedcleandataset[[#This Row],[yr]],mergedcleandataset[[#This Row],[mnth]],mergedcleandataset[[#This Row],[day]])</f>
        <v>40546</v>
      </c>
      <c r="R57">
        <f>DAY(mergedcleandataset[[#This Row],[dteday]])</f>
        <v>3</v>
      </c>
      <c r="S57" t="str">
        <f>IF(mergedcleandataset[[#This Row],[weekday]]&gt;=5,"Yes","No")</f>
        <v>No</v>
      </c>
      <c r="T57" t="b">
        <f>ISBLANK(mergedcleandataset[[#This Row],[atemp]])</f>
        <v>0</v>
      </c>
      <c r="U57" t="str">
        <f t="shared" si="0"/>
        <v>Spring</v>
      </c>
      <c r="V57" t="str">
        <f>TEXT(mergedcleandataset[[#This Row],[date]],"dddd")</f>
        <v>Monday</v>
      </c>
      <c r="W5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8" spans="1:23" x14ac:dyDescent="0.25">
      <c r="A58">
        <v>57</v>
      </c>
      <c r="B58" s="1">
        <v>40546</v>
      </c>
      <c r="C58">
        <v>1</v>
      </c>
      <c r="D58" t="str">
        <f>TEXT(mergedcleandataset[[#This Row],[dteday]],"yyyy")</f>
        <v>2011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s="2">
        <f>DATE(mergedcleandataset[[#This Row],[yr]],mergedcleandataset[[#This Row],[mnth]],mergedcleandataset[[#This Row],[day]])</f>
        <v>40546</v>
      </c>
      <c r="R58">
        <f>DAY(mergedcleandataset[[#This Row],[dteday]])</f>
        <v>3</v>
      </c>
      <c r="S58" t="str">
        <f>IF(mergedcleandataset[[#This Row],[weekday]]&gt;=5,"Yes","No")</f>
        <v>No</v>
      </c>
      <c r="T58" t="b">
        <f>ISBLANK(mergedcleandataset[[#This Row],[atemp]])</f>
        <v>0</v>
      </c>
      <c r="U58" t="str">
        <f t="shared" si="0"/>
        <v>Spring</v>
      </c>
      <c r="V58" t="str">
        <f>TEXT(mergedcleandataset[[#This Row],[date]],"dddd")</f>
        <v>Monday</v>
      </c>
      <c r="W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" spans="1:23" x14ac:dyDescent="0.25">
      <c r="A59">
        <v>58</v>
      </c>
      <c r="B59" s="1">
        <v>40546</v>
      </c>
      <c r="C59">
        <v>1</v>
      </c>
      <c r="D59" t="str">
        <f>TEXT(mergedcleandataset[[#This Row],[dteday]],"yyyy")</f>
        <v>2011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s="2">
        <f>DATE(mergedcleandataset[[#This Row],[yr]],mergedcleandataset[[#This Row],[mnth]],mergedcleandataset[[#This Row],[day]])</f>
        <v>40546</v>
      </c>
      <c r="R59">
        <f>DAY(mergedcleandataset[[#This Row],[dteday]])</f>
        <v>3</v>
      </c>
      <c r="S59" t="str">
        <f>IF(mergedcleandataset[[#This Row],[weekday]]&gt;=5,"Yes","No")</f>
        <v>No</v>
      </c>
      <c r="T59" t="b">
        <f>ISBLANK(mergedcleandataset[[#This Row],[atemp]])</f>
        <v>0</v>
      </c>
      <c r="U59" t="str">
        <f t="shared" si="0"/>
        <v>Spring</v>
      </c>
      <c r="V59" t="str">
        <f>TEXT(mergedcleandataset[[#This Row],[date]],"dddd")</f>
        <v>Monday</v>
      </c>
      <c r="W5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0" spans="1:23" x14ac:dyDescent="0.25">
      <c r="A60">
        <v>59</v>
      </c>
      <c r="B60" s="1">
        <v>40546</v>
      </c>
      <c r="C60">
        <v>1</v>
      </c>
      <c r="D60" t="str">
        <f>TEXT(mergedcleandataset[[#This Row],[dteday]],"yyyy")</f>
        <v>2011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s="2">
        <f>DATE(mergedcleandataset[[#This Row],[yr]],mergedcleandataset[[#This Row],[mnth]],mergedcleandataset[[#This Row],[day]])</f>
        <v>40546</v>
      </c>
      <c r="R60">
        <f>DAY(mergedcleandataset[[#This Row],[dteday]])</f>
        <v>3</v>
      </c>
      <c r="S60" t="str">
        <f>IF(mergedcleandataset[[#This Row],[weekday]]&gt;=5,"Yes","No")</f>
        <v>No</v>
      </c>
      <c r="T60" t="b">
        <f>ISBLANK(mergedcleandataset[[#This Row],[atemp]])</f>
        <v>1</v>
      </c>
      <c r="U60" t="str">
        <f t="shared" si="0"/>
        <v>Spring</v>
      </c>
      <c r="V60" t="str">
        <f>TEXT(mergedcleandataset[[#This Row],[date]],"dddd")</f>
        <v>Monday</v>
      </c>
      <c r="W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" spans="1:23" x14ac:dyDescent="0.25">
      <c r="A61">
        <v>60</v>
      </c>
      <c r="B61" s="1">
        <v>40546</v>
      </c>
      <c r="C61">
        <v>1</v>
      </c>
      <c r="D61" t="str">
        <f>TEXT(mergedcleandataset[[#This Row],[dteday]],"yyyy")</f>
        <v>2011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s="2">
        <f>DATE(mergedcleandataset[[#This Row],[yr]],mergedcleandataset[[#This Row],[mnth]],mergedcleandataset[[#This Row],[day]])</f>
        <v>40546</v>
      </c>
      <c r="R61">
        <f>DAY(mergedcleandataset[[#This Row],[dteday]])</f>
        <v>3</v>
      </c>
      <c r="S61" t="str">
        <f>IF(mergedcleandataset[[#This Row],[weekday]]&gt;=5,"Yes","No")</f>
        <v>No</v>
      </c>
      <c r="T61" t="b">
        <f>ISBLANK(mergedcleandataset[[#This Row],[atemp]])</f>
        <v>0</v>
      </c>
      <c r="U61" t="str">
        <f t="shared" si="0"/>
        <v>Spring</v>
      </c>
      <c r="V61" t="str">
        <f>TEXT(mergedcleandataset[[#This Row],[date]],"dddd")</f>
        <v>Monday</v>
      </c>
      <c r="W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2" spans="1:23" x14ac:dyDescent="0.25">
      <c r="A62">
        <v>61</v>
      </c>
      <c r="B62" s="1">
        <v>40546</v>
      </c>
      <c r="C62">
        <v>1</v>
      </c>
      <c r="D62" t="str">
        <f>TEXT(mergedcleandataset[[#This Row],[dteday]],"yyyy")</f>
        <v>2011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s="2">
        <f>DATE(mergedcleandataset[[#This Row],[yr]],mergedcleandataset[[#This Row],[mnth]],mergedcleandataset[[#This Row],[day]])</f>
        <v>40546</v>
      </c>
      <c r="R62">
        <f>DAY(mergedcleandataset[[#This Row],[dteday]])</f>
        <v>3</v>
      </c>
      <c r="S62" t="str">
        <f>IF(mergedcleandataset[[#This Row],[weekday]]&gt;=5,"Yes","No")</f>
        <v>No</v>
      </c>
      <c r="T62" t="b">
        <f>ISBLANK(mergedcleandataset[[#This Row],[atemp]])</f>
        <v>0</v>
      </c>
      <c r="U62" t="str">
        <f t="shared" si="0"/>
        <v>Spring</v>
      </c>
      <c r="V62" t="str">
        <f>TEXT(mergedcleandataset[[#This Row],[date]],"dddd")</f>
        <v>Monday</v>
      </c>
      <c r="W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" spans="1:23" x14ac:dyDescent="0.25">
      <c r="A63">
        <v>62</v>
      </c>
      <c r="B63" s="1">
        <v>40546</v>
      </c>
      <c r="C63">
        <v>1</v>
      </c>
      <c r="D63" t="str">
        <f>TEXT(mergedcleandataset[[#This Row],[dteday]],"yyyy")</f>
        <v>2011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s="2">
        <f>DATE(mergedcleandataset[[#This Row],[yr]],mergedcleandataset[[#This Row],[mnth]],mergedcleandataset[[#This Row],[day]])</f>
        <v>40546</v>
      </c>
      <c r="R63">
        <f>DAY(mergedcleandataset[[#This Row],[dteday]])</f>
        <v>3</v>
      </c>
      <c r="S63" t="str">
        <f>IF(mergedcleandataset[[#This Row],[weekday]]&gt;=5,"Yes","No")</f>
        <v>No</v>
      </c>
      <c r="T63" t="b">
        <f>ISBLANK(mergedcleandataset[[#This Row],[atemp]])</f>
        <v>0</v>
      </c>
      <c r="U63" t="str">
        <f t="shared" si="0"/>
        <v>Spring</v>
      </c>
      <c r="V63" t="str">
        <f>TEXT(mergedcleandataset[[#This Row],[date]],"dddd")</f>
        <v>Monday</v>
      </c>
      <c r="W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" spans="1:23" x14ac:dyDescent="0.25">
      <c r="A64">
        <v>63</v>
      </c>
      <c r="B64" s="1">
        <v>40546</v>
      </c>
      <c r="C64">
        <v>1</v>
      </c>
      <c r="D64" t="str">
        <f>TEXT(mergedcleandataset[[#This Row],[dteday]],"yyyy")</f>
        <v>2011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s="2">
        <f>DATE(mergedcleandataset[[#This Row],[yr]],mergedcleandataset[[#This Row],[mnth]],mergedcleandataset[[#This Row],[day]])</f>
        <v>40546</v>
      </c>
      <c r="R64">
        <f>DAY(mergedcleandataset[[#This Row],[dteday]])</f>
        <v>3</v>
      </c>
      <c r="S64" t="str">
        <f>IF(mergedcleandataset[[#This Row],[weekday]]&gt;=5,"Yes","No")</f>
        <v>No</v>
      </c>
      <c r="T64" t="b">
        <f>ISBLANK(mergedcleandataset[[#This Row],[atemp]])</f>
        <v>0</v>
      </c>
      <c r="U64" t="str">
        <f t="shared" si="0"/>
        <v>Spring</v>
      </c>
      <c r="V64" t="str">
        <f>TEXT(mergedcleandataset[[#This Row],[date]],"dddd")</f>
        <v>Monday</v>
      </c>
      <c r="W6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5" spans="1:23" x14ac:dyDescent="0.25">
      <c r="A65">
        <v>64</v>
      </c>
      <c r="B65" s="1">
        <v>40546</v>
      </c>
      <c r="C65">
        <v>1</v>
      </c>
      <c r="D65" t="str">
        <f>TEXT(mergedcleandataset[[#This Row],[dteday]],"yyyy")</f>
        <v>2011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s="2">
        <f>DATE(mergedcleandataset[[#This Row],[yr]],mergedcleandataset[[#This Row],[mnth]],mergedcleandataset[[#This Row],[day]])</f>
        <v>40546</v>
      </c>
      <c r="R65">
        <f>DAY(mergedcleandataset[[#This Row],[dteday]])</f>
        <v>3</v>
      </c>
      <c r="S65" t="str">
        <f>IF(mergedcleandataset[[#This Row],[weekday]]&gt;=5,"Yes","No")</f>
        <v>No</v>
      </c>
      <c r="T65" t="b">
        <f>ISBLANK(mergedcleandataset[[#This Row],[atemp]])</f>
        <v>0</v>
      </c>
      <c r="U65" t="str">
        <f t="shared" si="0"/>
        <v>Spring</v>
      </c>
      <c r="V65" t="str">
        <f>TEXT(mergedcleandataset[[#This Row],[date]],"dddd")</f>
        <v>Monday</v>
      </c>
      <c r="W6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6" spans="1:23" x14ac:dyDescent="0.25">
      <c r="A66">
        <v>65</v>
      </c>
      <c r="B66" s="1">
        <v>40546</v>
      </c>
      <c r="C66">
        <v>1</v>
      </c>
      <c r="D66" t="str">
        <f>TEXT(mergedcleandataset[[#This Row],[dteday]],"yyyy")</f>
        <v>2011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s="2">
        <f>DATE(mergedcleandataset[[#This Row],[yr]],mergedcleandataset[[#This Row],[mnth]],mergedcleandataset[[#This Row],[day]])</f>
        <v>40546</v>
      </c>
      <c r="R66">
        <f>DAY(mergedcleandataset[[#This Row],[dteday]])</f>
        <v>3</v>
      </c>
      <c r="S66" t="str">
        <f>IF(mergedcleandataset[[#This Row],[weekday]]&gt;=5,"Yes","No")</f>
        <v>No</v>
      </c>
      <c r="T66" t="b">
        <f>ISBLANK(mergedcleandataset[[#This Row],[atemp]])</f>
        <v>0</v>
      </c>
      <c r="U66" t="str">
        <f t="shared" ref="U66:U129" si="1">IF(C66=1,"Spring",
IF(C66=2,"Summer",
IF(C66=3,"Fall",
IF(C66=4,"Winter","Unknown"))))</f>
        <v>Spring</v>
      </c>
      <c r="V66" t="str">
        <f>TEXT(mergedcleandataset[[#This Row],[date]],"dddd")</f>
        <v>Monday</v>
      </c>
      <c r="W6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7" spans="1:23" x14ac:dyDescent="0.25">
      <c r="A67">
        <v>66</v>
      </c>
      <c r="B67" s="1">
        <v>40546</v>
      </c>
      <c r="C67">
        <v>1</v>
      </c>
      <c r="D67" t="str">
        <f>TEXT(mergedcleandataset[[#This Row],[dteday]],"yyyy")</f>
        <v>2011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  <c r="Q67" s="2">
        <f>DATE(mergedcleandataset[[#This Row],[yr]],mergedcleandataset[[#This Row],[mnth]],mergedcleandataset[[#This Row],[day]])</f>
        <v>40546</v>
      </c>
      <c r="R67">
        <f>DAY(mergedcleandataset[[#This Row],[dteday]])</f>
        <v>3</v>
      </c>
      <c r="S67" t="str">
        <f>IF(mergedcleandataset[[#This Row],[weekday]]&gt;=5,"Yes","No")</f>
        <v>No</v>
      </c>
      <c r="T67" t="b">
        <f>ISBLANK(mergedcleandataset[[#This Row],[atemp]])</f>
        <v>1</v>
      </c>
      <c r="U67" t="str">
        <f t="shared" si="1"/>
        <v>Spring</v>
      </c>
      <c r="V67" t="str">
        <f>TEXT(mergedcleandataset[[#This Row],[date]],"dddd")</f>
        <v>Monday</v>
      </c>
      <c r="W6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8" spans="1:23" x14ac:dyDescent="0.25">
      <c r="A68">
        <v>67</v>
      </c>
      <c r="B68" s="1">
        <v>40546</v>
      </c>
      <c r="C68">
        <v>1</v>
      </c>
      <c r="D68" t="str">
        <f>TEXT(mergedcleandataset[[#This Row],[dteday]],"yyyy")</f>
        <v>2011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s="2">
        <f>DATE(mergedcleandataset[[#This Row],[yr]],mergedcleandataset[[#This Row],[mnth]],mergedcleandataset[[#This Row],[day]])</f>
        <v>40546</v>
      </c>
      <c r="R68">
        <f>DAY(mergedcleandataset[[#This Row],[dteday]])</f>
        <v>3</v>
      </c>
      <c r="S68" t="str">
        <f>IF(mergedcleandataset[[#This Row],[weekday]]&gt;=5,"Yes","No")</f>
        <v>No</v>
      </c>
      <c r="T68" t="b">
        <f>ISBLANK(mergedcleandataset[[#This Row],[atemp]])</f>
        <v>0</v>
      </c>
      <c r="U68" t="str">
        <f t="shared" si="1"/>
        <v>Spring</v>
      </c>
      <c r="V68" t="str">
        <f>TEXT(mergedcleandataset[[#This Row],[date]],"dddd")</f>
        <v>Monday</v>
      </c>
      <c r="W6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9" spans="1:23" x14ac:dyDescent="0.25">
      <c r="A69">
        <v>68</v>
      </c>
      <c r="B69" s="1">
        <v>40546</v>
      </c>
      <c r="C69">
        <v>1</v>
      </c>
      <c r="D69" t="str">
        <f>TEXT(mergedcleandataset[[#This Row],[dteday]],"yyyy")</f>
        <v>2011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s="2">
        <f>DATE(mergedcleandataset[[#This Row],[yr]],mergedcleandataset[[#This Row],[mnth]],mergedcleandataset[[#This Row],[day]])</f>
        <v>40546</v>
      </c>
      <c r="R69">
        <f>DAY(mergedcleandataset[[#This Row],[dteday]])</f>
        <v>3</v>
      </c>
      <c r="S69" t="str">
        <f>IF(mergedcleandataset[[#This Row],[weekday]]&gt;=5,"Yes","No")</f>
        <v>No</v>
      </c>
      <c r="T69" t="b">
        <f>ISBLANK(mergedcleandataset[[#This Row],[atemp]])</f>
        <v>0</v>
      </c>
      <c r="U69" t="str">
        <f t="shared" si="1"/>
        <v>Spring</v>
      </c>
      <c r="V69" t="str">
        <f>TEXT(mergedcleandataset[[#This Row],[date]],"dddd")</f>
        <v>Monday</v>
      </c>
      <c r="W6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0" spans="1:23" x14ac:dyDescent="0.25">
      <c r="A70">
        <v>69</v>
      </c>
      <c r="B70" s="1">
        <v>40546</v>
      </c>
      <c r="C70">
        <v>1</v>
      </c>
      <c r="D70" t="str">
        <f>TEXT(mergedcleandataset[[#This Row],[dteday]],"yyyy")</f>
        <v>2011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s="2">
        <f>DATE(mergedcleandataset[[#This Row],[yr]],mergedcleandataset[[#This Row],[mnth]],mergedcleandataset[[#This Row],[day]])</f>
        <v>40546</v>
      </c>
      <c r="R70">
        <f>DAY(mergedcleandataset[[#This Row],[dteday]])</f>
        <v>3</v>
      </c>
      <c r="S70" t="str">
        <f>IF(mergedcleandataset[[#This Row],[weekday]]&gt;=5,"Yes","No")</f>
        <v>No</v>
      </c>
      <c r="T70" t="b">
        <f>ISBLANK(mergedcleandataset[[#This Row],[atemp]])</f>
        <v>0</v>
      </c>
      <c r="U70" t="str">
        <f t="shared" si="1"/>
        <v>Spring</v>
      </c>
      <c r="V70" t="str">
        <f>TEXT(mergedcleandataset[[#This Row],[date]],"dddd")</f>
        <v>Monday</v>
      </c>
      <c r="W7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1" spans="1:23" x14ac:dyDescent="0.25">
      <c r="A71">
        <v>70</v>
      </c>
      <c r="B71" s="1">
        <v>40547</v>
      </c>
      <c r="C71">
        <v>1</v>
      </c>
      <c r="D71" t="str">
        <f>TEXT(mergedcleandataset[[#This Row],[dteday]],"yyyy")</f>
        <v>2011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s="2">
        <f>DATE(mergedcleandataset[[#This Row],[yr]],mergedcleandataset[[#This Row],[mnth]],mergedcleandataset[[#This Row],[day]])</f>
        <v>40547</v>
      </c>
      <c r="R71">
        <f>DAY(mergedcleandataset[[#This Row],[dteday]])</f>
        <v>4</v>
      </c>
      <c r="S71" t="str">
        <f>IF(mergedcleandataset[[#This Row],[weekday]]&gt;=5,"Yes","No")</f>
        <v>No</v>
      </c>
      <c r="T71" t="b">
        <f>ISBLANK(mergedcleandataset[[#This Row],[atemp]])</f>
        <v>1</v>
      </c>
      <c r="U71" t="str">
        <f t="shared" si="1"/>
        <v>Spring</v>
      </c>
      <c r="V71" t="str">
        <f>TEXT(mergedcleandataset[[#This Row],[date]],"dddd")</f>
        <v>Tuesday</v>
      </c>
      <c r="W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" spans="1:23" x14ac:dyDescent="0.25">
      <c r="A72">
        <v>71</v>
      </c>
      <c r="B72" s="1">
        <v>40547</v>
      </c>
      <c r="C72">
        <v>1</v>
      </c>
      <c r="D72" t="str">
        <f>TEXT(mergedcleandataset[[#This Row],[dteday]],"yyyy")</f>
        <v>2011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s="2">
        <f>DATE(mergedcleandataset[[#This Row],[yr]],mergedcleandataset[[#This Row],[mnth]],mergedcleandataset[[#This Row],[day]])</f>
        <v>40547</v>
      </c>
      <c r="R72">
        <f>DAY(mergedcleandataset[[#This Row],[dteday]])</f>
        <v>4</v>
      </c>
      <c r="S72" t="str">
        <f>IF(mergedcleandataset[[#This Row],[weekday]]&gt;=5,"Yes","No")</f>
        <v>No</v>
      </c>
      <c r="T72" t="b">
        <f>ISBLANK(mergedcleandataset[[#This Row],[atemp]])</f>
        <v>0</v>
      </c>
      <c r="U72" t="str">
        <f t="shared" si="1"/>
        <v>Spring</v>
      </c>
      <c r="V72" t="str">
        <f>TEXT(mergedcleandataset[[#This Row],[date]],"dddd")</f>
        <v>Tuesday</v>
      </c>
      <c r="W7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" spans="1:23" x14ac:dyDescent="0.25">
      <c r="A73">
        <v>72</v>
      </c>
      <c r="B73" s="1">
        <v>40547</v>
      </c>
      <c r="C73">
        <v>1</v>
      </c>
      <c r="D73" t="str">
        <f>TEXT(mergedcleandataset[[#This Row],[dteday]],"yyyy")</f>
        <v>2011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s="2">
        <f>DATE(mergedcleandataset[[#This Row],[yr]],mergedcleandataset[[#This Row],[mnth]],mergedcleandataset[[#This Row],[day]])</f>
        <v>40547</v>
      </c>
      <c r="R73">
        <f>DAY(mergedcleandataset[[#This Row],[dteday]])</f>
        <v>4</v>
      </c>
      <c r="S73" t="str">
        <f>IF(mergedcleandataset[[#This Row],[weekday]]&gt;=5,"Yes","No")</f>
        <v>No</v>
      </c>
      <c r="T73" t="b">
        <f>ISBLANK(mergedcleandataset[[#This Row],[atemp]])</f>
        <v>0</v>
      </c>
      <c r="U73" t="str">
        <f t="shared" si="1"/>
        <v>Spring</v>
      </c>
      <c r="V73" t="str">
        <f>TEXT(mergedcleandataset[[#This Row],[date]],"dddd")</f>
        <v>Tuesday</v>
      </c>
      <c r="W7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" spans="1:23" x14ac:dyDescent="0.25">
      <c r="A74">
        <v>73</v>
      </c>
      <c r="B74" s="1">
        <v>40547</v>
      </c>
      <c r="C74">
        <v>1</v>
      </c>
      <c r="D74" t="str">
        <f>TEXT(mergedcleandataset[[#This Row],[dteday]],"yyyy")</f>
        <v>2011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s="2">
        <f>DATE(mergedcleandataset[[#This Row],[yr]],mergedcleandataset[[#This Row],[mnth]],mergedcleandataset[[#This Row],[day]])</f>
        <v>40547</v>
      </c>
      <c r="R74">
        <f>DAY(mergedcleandataset[[#This Row],[dteday]])</f>
        <v>4</v>
      </c>
      <c r="S74" t="str">
        <f>IF(mergedcleandataset[[#This Row],[weekday]]&gt;=5,"Yes","No")</f>
        <v>No</v>
      </c>
      <c r="T74" t="b">
        <f>ISBLANK(mergedcleandataset[[#This Row],[atemp]])</f>
        <v>0</v>
      </c>
      <c r="U74" t="str">
        <f t="shared" si="1"/>
        <v>Spring</v>
      </c>
      <c r="V74" t="str">
        <f>TEXT(mergedcleandataset[[#This Row],[date]],"dddd")</f>
        <v>Tuesday</v>
      </c>
      <c r="W7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5" spans="1:23" x14ac:dyDescent="0.25">
      <c r="A75">
        <v>74</v>
      </c>
      <c r="B75" s="1">
        <v>40547</v>
      </c>
      <c r="C75">
        <v>1</v>
      </c>
      <c r="D75" t="str">
        <f>TEXT(mergedcleandataset[[#This Row],[dteday]],"yyyy")</f>
        <v>2011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s="2">
        <f>DATE(mergedcleandataset[[#This Row],[yr]],mergedcleandataset[[#This Row],[mnth]],mergedcleandataset[[#This Row],[day]])</f>
        <v>40547</v>
      </c>
      <c r="R75">
        <f>DAY(mergedcleandataset[[#This Row],[dteday]])</f>
        <v>4</v>
      </c>
      <c r="S75" t="str">
        <f>IF(mergedcleandataset[[#This Row],[weekday]]&gt;=5,"Yes","No")</f>
        <v>No</v>
      </c>
      <c r="T75" t="b">
        <f>ISBLANK(mergedcleandataset[[#This Row],[atemp]])</f>
        <v>0</v>
      </c>
      <c r="U75" t="str">
        <f t="shared" si="1"/>
        <v>Spring</v>
      </c>
      <c r="V75" t="str">
        <f>TEXT(mergedcleandataset[[#This Row],[date]],"dddd")</f>
        <v>Tuesday</v>
      </c>
      <c r="W7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6" spans="1:23" x14ac:dyDescent="0.25">
      <c r="A76">
        <v>75</v>
      </c>
      <c r="B76" s="1">
        <v>40547</v>
      </c>
      <c r="C76">
        <v>1</v>
      </c>
      <c r="D76" t="str">
        <f>TEXT(mergedcleandataset[[#This Row],[dteday]],"yyyy")</f>
        <v>2011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s="2">
        <f>DATE(mergedcleandataset[[#This Row],[yr]],mergedcleandataset[[#This Row],[mnth]],mergedcleandataset[[#This Row],[day]])</f>
        <v>40547</v>
      </c>
      <c r="R76">
        <f>DAY(mergedcleandataset[[#This Row],[dteday]])</f>
        <v>4</v>
      </c>
      <c r="S76" t="str">
        <f>IF(mergedcleandataset[[#This Row],[weekday]]&gt;=5,"Yes","No")</f>
        <v>No</v>
      </c>
      <c r="T76" t="b">
        <f>ISBLANK(mergedcleandataset[[#This Row],[atemp]])</f>
        <v>0</v>
      </c>
      <c r="U76" t="str">
        <f t="shared" si="1"/>
        <v>Spring</v>
      </c>
      <c r="V76" t="str">
        <f>TEXT(mergedcleandataset[[#This Row],[date]],"dddd")</f>
        <v>Tuesday</v>
      </c>
      <c r="W7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7" spans="1:23" x14ac:dyDescent="0.25">
      <c r="A77">
        <v>76</v>
      </c>
      <c r="B77" s="1">
        <v>40547</v>
      </c>
      <c r="C77">
        <v>1</v>
      </c>
      <c r="D77" t="str">
        <f>TEXT(mergedcleandataset[[#This Row],[dteday]],"yyyy")</f>
        <v>2011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s="2">
        <f>DATE(mergedcleandataset[[#This Row],[yr]],mergedcleandataset[[#This Row],[mnth]],mergedcleandataset[[#This Row],[day]])</f>
        <v>40547</v>
      </c>
      <c r="R77">
        <f>DAY(mergedcleandataset[[#This Row],[dteday]])</f>
        <v>4</v>
      </c>
      <c r="S77" t="str">
        <f>IF(mergedcleandataset[[#This Row],[weekday]]&gt;=5,"Yes","No")</f>
        <v>No</v>
      </c>
      <c r="T77" t="b">
        <f>ISBLANK(mergedcleandataset[[#This Row],[atemp]])</f>
        <v>0</v>
      </c>
      <c r="U77" t="str">
        <f t="shared" si="1"/>
        <v>Spring</v>
      </c>
      <c r="V77" t="str">
        <f>TEXT(mergedcleandataset[[#This Row],[date]],"dddd")</f>
        <v>Tuesday</v>
      </c>
      <c r="W7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8" spans="1:23" x14ac:dyDescent="0.25">
      <c r="A78">
        <v>77</v>
      </c>
      <c r="B78" s="1">
        <v>40547</v>
      </c>
      <c r="C78">
        <v>1</v>
      </c>
      <c r="D78" t="str">
        <f>TEXT(mergedcleandataset[[#This Row],[dteday]],"yyyy")</f>
        <v>2011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s="2">
        <f>DATE(mergedcleandataset[[#This Row],[yr]],mergedcleandataset[[#This Row],[mnth]],mergedcleandataset[[#This Row],[day]])</f>
        <v>40547</v>
      </c>
      <c r="R78">
        <f>DAY(mergedcleandataset[[#This Row],[dteday]])</f>
        <v>4</v>
      </c>
      <c r="S78" t="str">
        <f>IF(mergedcleandataset[[#This Row],[weekday]]&gt;=5,"Yes","No")</f>
        <v>No</v>
      </c>
      <c r="T78" t="b">
        <f>ISBLANK(mergedcleandataset[[#This Row],[atemp]])</f>
        <v>0</v>
      </c>
      <c r="U78" t="str">
        <f t="shared" si="1"/>
        <v>Spring</v>
      </c>
      <c r="V78" t="str">
        <f>TEXT(mergedcleandataset[[#This Row],[date]],"dddd")</f>
        <v>Tuesday</v>
      </c>
      <c r="W7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9" spans="1:23" x14ac:dyDescent="0.25">
      <c r="A79">
        <v>78</v>
      </c>
      <c r="B79" s="1">
        <v>40547</v>
      </c>
      <c r="C79">
        <v>1</v>
      </c>
      <c r="D79" t="str">
        <f>TEXT(mergedcleandataset[[#This Row],[dteday]],"yyyy")</f>
        <v>2011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s="2">
        <f>DATE(mergedcleandataset[[#This Row],[yr]],mergedcleandataset[[#This Row],[mnth]],mergedcleandataset[[#This Row],[day]])</f>
        <v>40547</v>
      </c>
      <c r="R79">
        <f>DAY(mergedcleandataset[[#This Row],[dteday]])</f>
        <v>4</v>
      </c>
      <c r="S79" t="str">
        <f>IF(mergedcleandataset[[#This Row],[weekday]]&gt;=5,"Yes","No")</f>
        <v>No</v>
      </c>
      <c r="T79" t="b">
        <f>ISBLANK(mergedcleandataset[[#This Row],[atemp]])</f>
        <v>0</v>
      </c>
      <c r="U79" t="str">
        <f t="shared" si="1"/>
        <v>Spring</v>
      </c>
      <c r="V79" t="str">
        <f>TEXT(mergedcleandataset[[#This Row],[date]],"dddd")</f>
        <v>Tuesday</v>
      </c>
      <c r="W7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" spans="1:23" x14ac:dyDescent="0.25">
      <c r="A80">
        <v>79</v>
      </c>
      <c r="B80" s="1">
        <v>40547</v>
      </c>
      <c r="C80">
        <v>1</v>
      </c>
      <c r="D80" t="str">
        <f>TEXT(mergedcleandataset[[#This Row],[dteday]],"yyyy")</f>
        <v>2011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s="2">
        <f>DATE(mergedcleandataset[[#This Row],[yr]],mergedcleandataset[[#This Row],[mnth]],mergedcleandataset[[#This Row],[day]])</f>
        <v>40547</v>
      </c>
      <c r="R80">
        <f>DAY(mergedcleandataset[[#This Row],[dteday]])</f>
        <v>4</v>
      </c>
      <c r="S80" t="str">
        <f>IF(mergedcleandataset[[#This Row],[weekday]]&gt;=5,"Yes","No")</f>
        <v>No</v>
      </c>
      <c r="T80" t="b">
        <f>ISBLANK(mergedcleandataset[[#This Row],[atemp]])</f>
        <v>0</v>
      </c>
      <c r="U80" t="str">
        <f t="shared" si="1"/>
        <v>Spring</v>
      </c>
      <c r="V80" t="str">
        <f>TEXT(mergedcleandataset[[#This Row],[date]],"dddd")</f>
        <v>Tuesday</v>
      </c>
      <c r="W8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1" spans="1:23" x14ac:dyDescent="0.25">
      <c r="A81">
        <v>80</v>
      </c>
      <c r="B81" s="1">
        <v>40547</v>
      </c>
      <c r="C81">
        <v>1</v>
      </c>
      <c r="D81" t="str">
        <f>TEXT(mergedcleandataset[[#This Row],[dteday]],"yyyy")</f>
        <v>2011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s="2">
        <f>DATE(mergedcleandataset[[#This Row],[yr]],mergedcleandataset[[#This Row],[mnth]],mergedcleandataset[[#This Row],[day]])</f>
        <v>40547</v>
      </c>
      <c r="R81">
        <f>DAY(mergedcleandataset[[#This Row],[dteday]])</f>
        <v>4</v>
      </c>
      <c r="S81" t="str">
        <f>IF(mergedcleandataset[[#This Row],[weekday]]&gt;=5,"Yes","No")</f>
        <v>No</v>
      </c>
      <c r="T81" t="b">
        <f>ISBLANK(mergedcleandataset[[#This Row],[atemp]])</f>
        <v>0</v>
      </c>
      <c r="U81" t="str">
        <f t="shared" si="1"/>
        <v>Spring</v>
      </c>
      <c r="V81" t="str">
        <f>TEXT(mergedcleandataset[[#This Row],[date]],"dddd")</f>
        <v>Tuesday</v>
      </c>
      <c r="W8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" spans="1:23" x14ac:dyDescent="0.25">
      <c r="A82">
        <v>81</v>
      </c>
      <c r="B82" s="1">
        <v>40547</v>
      </c>
      <c r="C82">
        <v>1</v>
      </c>
      <c r="D82" t="str">
        <f>TEXT(mergedcleandataset[[#This Row],[dteday]],"yyyy")</f>
        <v>2011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s="2">
        <f>DATE(mergedcleandataset[[#This Row],[yr]],mergedcleandataset[[#This Row],[mnth]],mergedcleandataset[[#This Row],[day]])</f>
        <v>40547</v>
      </c>
      <c r="R82">
        <f>DAY(mergedcleandataset[[#This Row],[dteday]])</f>
        <v>4</v>
      </c>
      <c r="S82" t="str">
        <f>IF(mergedcleandataset[[#This Row],[weekday]]&gt;=5,"Yes","No")</f>
        <v>No</v>
      </c>
      <c r="T82" t="b">
        <f>ISBLANK(mergedcleandataset[[#This Row],[atemp]])</f>
        <v>0</v>
      </c>
      <c r="U82" t="str">
        <f t="shared" si="1"/>
        <v>Spring</v>
      </c>
      <c r="V82" t="str">
        <f>TEXT(mergedcleandataset[[#This Row],[date]],"dddd")</f>
        <v>Tuesday</v>
      </c>
      <c r="W8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3" spans="1:23" x14ac:dyDescent="0.25">
      <c r="A83">
        <v>82</v>
      </c>
      <c r="B83" s="1">
        <v>40547</v>
      </c>
      <c r="C83">
        <v>1</v>
      </c>
      <c r="D83" t="str">
        <f>TEXT(mergedcleandataset[[#This Row],[dteday]],"yyyy")</f>
        <v>2011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s="2">
        <f>DATE(mergedcleandataset[[#This Row],[yr]],mergedcleandataset[[#This Row],[mnth]],mergedcleandataset[[#This Row],[day]])</f>
        <v>40547</v>
      </c>
      <c r="R83">
        <f>DAY(mergedcleandataset[[#This Row],[dteday]])</f>
        <v>4</v>
      </c>
      <c r="S83" t="str">
        <f>IF(mergedcleandataset[[#This Row],[weekday]]&gt;=5,"Yes","No")</f>
        <v>No</v>
      </c>
      <c r="T83" t="b">
        <f>ISBLANK(mergedcleandataset[[#This Row],[atemp]])</f>
        <v>0</v>
      </c>
      <c r="U83" t="str">
        <f t="shared" si="1"/>
        <v>Spring</v>
      </c>
      <c r="V83" t="str">
        <f>TEXT(mergedcleandataset[[#This Row],[date]],"dddd")</f>
        <v>Tuesday</v>
      </c>
      <c r="W8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4" spans="1:23" x14ac:dyDescent="0.25">
      <c r="A84">
        <v>83</v>
      </c>
      <c r="B84" s="1">
        <v>40547</v>
      </c>
      <c r="C84">
        <v>1</v>
      </c>
      <c r="D84" t="str">
        <f>TEXT(mergedcleandataset[[#This Row],[dteday]],"yyyy")</f>
        <v>2011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s="2">
        <f>DATE(mergedcleandataset[[#This Row],[yr]],mergedcleandataset[[#This Row],[mnth]],mergedcleandataset[[#This Row],[day]])</f>
        <v>40547</v>
      </c>
      <c r="R84">
        <f>DAY(mergedcleandataset[[#This Row],[dteday]])</f>
        <v>4</v>
      </c>
      <c r="S84" t="str">
        <f>IF(mergedcleandataset[[#This Row],[weekday]]&gt;=5,"Yes","No")</f>
        <v>No</v>
      </c>
      <c r="T84" t="b">
        <f>ISBLANK(mergedcleandataset[[#This Row],[atemp]])</f>
        <v>0</v>
      </c>
      <c r="U84" t="str">
        <f t="shared" si="1"/>
        <v>Spring</v>
      </c>
      <c r="V84" t="str">
        <f>TEXT(mergedcleandataset[[#This Row],[date]],"dddd")</f>
        <v>Tuesday</v>
      </c>
      <c r="W8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" spans="1:23" x14ac:dyDescent="0.25">
      <c r="A85">
        <v>84</v>
      </c>
      <c r="B85" s="1">
        <v>40547</v>
      </c>
      <c r="C85">
        <v>1</v>
      </c>
      <c r="D85" t="str">
        <f>TEXT(mergedcleandataset[[#This Row],[dteday]],"yyyy")</f>
        <v>2011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s="2">
        <f>DATE(mergedcleandataset[[#This Row],[yr]],mergedcleandataset[[#This Row],[mnth]],mergedcleandataset[[#This Row],[day]])</f>
        <v>40547</v>
      </c>
      <c r="R85">
        <f>DAY(mergedcleandataset[[#This Row],[dteday]])</f>
        <v>4</v>
      </c>
      <c r="S85" t="str">
        <f>IF(mergedcleandataset[[#This Row],[weekday]]&gt;=5,"Yes","No")</f>
        <v>No</v>
      </c>
      <c r="T85" t="b">
        <f>ISBLANK(mergedcleandataset[[#This Row],[atemp]])</f>
        <v>0</v>
      </c>
      <c r="U85" t="str">
        <f t="shared" si="1"/>
        <v>Spring</v>
      </c>
      <c r="V85" t="str">
        <f>TEXT(mergedcleandataset[[#This Row],[date]],"dddd")</f>
        <v>Tuesday</v>
      </c>
      <c r="W8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" spans="1:23" x14ac:dyDescent="0.25">
      <c r="A86">
        <v>85</v>
      </c>
      <c r="B86" s="1">
        <v>40547</v>
      </c>
      <c r="C86">
        <v>1</v>
      </c>
      <c r="D86" t="str">
        <f>TEXT(mergedcleandataset[[#This Row],[dteday]],"yyyy")</f>
        <v>2011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s="2">
        <f>DATE(mergedcleandataset[[#This Row],[yr]],mergedcleandataset[[#This Row],[mnth]],mergedcleandataset[[#This Row],[day]])</f>
        <v>40547</v>
      </c>
      <c r="R86">
        <f>DAY(mergedcleandataset[[#This Row],[dteday]])</f>
        <v>4</v>
      </c>
      <c r="S86" t="str">
        <f>IF(mergedcleandataset[[#This Row],[weekday]]&gt;=5,"Yes","No")</f>
        <v>No</v>
      </c>
      <c r="T86" t="b">
        <f>ISBLANK(mergedcleandataset[[#This Row],[atemp]])</f>
        <v>0</v>
      </c>
      <c r="U86" t="str">
        <f t="shared" si="1"/>
        <v>Spring</v>
      </c>
      <c r="V86" t="str">
        <f>TEXT(mergedcleandataset[[#This Row],[date]],"dddd")</f>
        <v>Tuesday</v>
      </c>
      <c r="W8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" spans="1:23" x14ac:dyDescent="0.25">
      <c r="A87">
        <v>86</v>
      </c>
      <c r="B87" s="1">
        <v>40547</v>
      </c>
      <c r="C87">
        <v>1</v>
      </c>
      <c r="D87" t="str">
        <f>TEXT(mergedcleandataset[[#This Row],[dteday]],"yyyy")</f>
        <v>2011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s="2">
        <f>DATE(mergedcleandataset[[#This Row],[yr]],mergedcleandataset[[#This Row],[mnth]],mergedcleandataset[[#This Row],[day]])</f>
        <v>40547</v>
      </c>
      <c r="R87">
        <f>DAY(mergedcleandataset[[#This Row],[dteday]])</f>
        <v>4</v>
      </c>
      <c r="S87" t="str">
        <f>IF(mergedcleandataset[[#This Row],[weekday]]&gt;=5,"Yes","No")</f>
        <v>No</v>
      </c>
      <c r="T87" t="b">
        <f>ISBLANK(mergedcleandataset[[#This Row],[atemp]])</f>
        <v>0</v>
      </c>
      <c r="U87" t="str">
        <f t="shared" si="1"/>
        <v>Spring</v>
      </c>
      <c r="V87" t="str">
        <f>TEXT(mergedcleandataset[[#This Row],[date]],"dddd")</f>
        <v>Tuesday</v>
      </c>
      <c r="W8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8" spans="1:23" x14ac:dyDescent="0.25">
      <c r="A88">
        <v>87</v>
      </c>
      <c r="B88" s="1">
        <v>40547</v>
      </c>
      <c r="C88">
        <v>1</v>
      </c>
      <c r="D88" t="str">
        <f>TEXT(mergedcleandataset[[#This Row],[dteday]],"yyyy")</f>
        <v>2011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s="2">
        <f>DATE(mergedcleandataset[[#This Row],[yr]],mergedcleandataset[[#This Row],[mnth]],mergedcleandataset[[#This Row],[day]])</f>
        <v>40547</v>
      </c>
      <c r="R88">
        <f>DAY(mergedcleandataset[[#This Row],[dteday]])</f>
        <v>4</v>
      </c>
      <c r="S88" t="str">
        <f>IF(mergedcleandataset[[#This Row],[weekday]]&gt;=5,"Yes","No")</f>
        <v>No</v>
      </c>
      <c r="T88" t="b">
        <f>ISBLANK(mergedcleandataset[[#This Row],[atemp]])</f>
        <v>0</v>
      </c>
      <c r="U88" t="str">
        <f t="shared" si="1"/>
        <v>Spring</v>
      </c>
      <c r="V88" t="str">
        <f>TEXT(mergedcleandataset[[#This Row],[date]],"dddd")</f>
        <v>Tuesday</v>
      </c>
      <c r="W8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9" spans="1:23" x14ac:dyDescent="0.25">
      <c r="A89">
        <v>88</v>
      </c>
      <c r="B89" s="1">
        <v>40547</v>
      </c>
      <c r="C89">
        <v>1</v>
      </c>
      <c r="D89" t="str">
        <f>TEXT(mergedcleandataset[[#This Row],[dteday]],"yyyy")</f>
        <v>2011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s="2">
        <f>DATE(mergedcleandataset[[#This Row],[yr]],mergedcleandataset[[#This Row],[mnth]],mergedcleandataset[[#This Row],[day]])</f>
        <v>40547</v>
      </c>
      <c r="R89">
        <f>DAY(mergedcleandataset[[#This Row],[dteday]])</f>
        <v>4</v>
      </c>
      <c r="S89" t="str">
        <f>IF(mergedcleandataset[[#This Row],[weekday]]&gt;=5,"Yes","No")</f>
        <v>No</v>
      </c>
      <c r="T89" t="b">
        <f>ISBLANK(mergedcleandataset[[#This Row],[atemp]])</f>
        <v>0</v>
      </c>
      <c r="U89" t="str">
        <f t="shared" si="1"/>
        <v>Spring</v>
      </c>
      <c r="V89" t="str">
        <f>TEXT(mergedcleandataset[[#This Row],[date]],"dddd")</f>
        <v>Tuesday</v>
      </c>
      <c r="W8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" spans="1:23" x14ac:dyDescent="0.25">
      <c r="A90">
        <v>89</v>
      </c>
      <c r="B90" s="1">
        <v>40547</v>
      </c>
      <c r="C90">
        <v>1</v>
      </c>
      <c r="D90" t="str">
        <f>TEXT(mergedcleandataset[[#This Row],[dteday]],"yyyy")</f>
        <v>2011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s="2">
        <f>DATE(mergedcleandataset[[#This Row],[yr]],mergedcleandataset[[#This Row],[mnth]],mergedcleandataset[[#This Row],[day]])</f>
        <v>40547</v>
      </c>
      <c r="R90">
        <f>DAY(mergedcleandataset[[#This Row],[dteday]])</f>
        <v>4</v>
      </c>
      <c r="S90" t="str">
        <f>IF(mergedcleandataset[[#This Row],[weekday]]&gt;=5,"Yes","No")</f>
        <v>No</v>
      </c>
      <c r="T90" t="b">
        <f>ISBLANK(mergedcleandataset[[#This Row],[atemp]])</f>
        <v>0</v>
      </c>
      <c r="U90" t="str">
        <f t="shared" si="1"/>
        <v>Spring</v>
      </c>
      <c r="V90" t="str">
        <f>TEXT(mergedcleandataset[[#This Row],[date]],"dddd")</f>
        <v>Tuesday</v>
      </c>
      <c r="W9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" spans="1:23" x14ac:dyDescent="0.25">
      <c r="A91">
        <v>90</v>
      </c>
      <c r="B91" s="1">
        <v>40547</v>
      </c>
      <c r="C91">
        <v>1</v>
      </c>
      <c r="D91" t="str">
        <f>TEXT(mergedcleandataset[[#This Row],[dteday]],"yyyy")</f>
        <v>2011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s="2">
        <f>DATE(mergedcleandataset[[#This Row],[yr]],mergedcleandataset[[#This Row],[mnth]],mergedcleandataset[[#This Row],[day]])</f>
        <v>40547</v>
      </c>
      <c r="R91">
        <f>DAY(mergedcleandataset[[#This Row],[dteday]])</f>
        <v>4</v>
      </c>
      <c r="S91" t="str">
        <f>IF(mergedcleandataset[[#This Row],[weekday]]&gt;=5,"Yes","No")</f>
        <v>No</v>
      </c>
      <c r="T91" t="b">
        <f>ISBLANK(mergedcleandataset[[#This Row],[atemp]])</f>
        <v>0</v>
      </c>
      <c r="U91" t="str">
        <f t="shared" si="1"/>
        <v>Spring</v>
      </c>
      <c r="V91" t="str">
        <f>TEXT(mergedcleandataset[[#This Row],[date]],"dddd")</f>
        <v>Tuesday</v>
      </c>
      <c r="W9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" spans="1:23" x14ac:dyDescent="0.25">
      <c r="A92">
        <v>91</v>
      </c>
      <c r="B92" s="1">
        <v>40547</v>
      </c>
      <c r="C92">
        <v>1</v>
      </c>
      <c r="D92" t="str">
        <f>TEXT(mergedcleandataset[[#This Row],[dteday]],"yyyy")</f>
        <v>2011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s="2">
        <f>DATE(mergedcleandataset[[#This Row],[yr]],mergedcleandataset[[#This Row],[mnth]],mergedcleandataset[[#This Row],[day]])</f>
        <v>40547</v>
      </c>
      <c r="R92">
        <f>DAY(mergedcleandataset[[#This Row],[dteday]])</f>
        <v>4</v>
      </c>
      <c r="S92" t="str">
        <f>IF(mergedcleandataset[[#This Row],[weekday]]&gt;=5,"Yes","No")</f>
        <v>No</v>
      </c>
      <c r="T92" t="b">
        <f>ISBLANK(mergedcleandataset[[#This Row],[atemp]])</f>
        <v>0</v>
      </c>
      <c r="U92" t="str">
        <f t="shared" si="1"/>
        <v>Spring</v>
      </c>
      <c r="V92" t="str">
        <f>TEXT(mergedcleandataset[[#This Row],[date]],"dddd")</f>
        <v>Tuesday</v>
      </c>
      <c r="W9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" spans="1:23" x14ac:dyDescent="0.25">
      <c r="A93">
        <v>92</v>
      </c>
      <c r="B93" s="1">
        <v>40547</v>
      </c>
      <c r="C93">
        <v>1</v>
      </c>
      <c r="D93" t="str">
        <f>TEXT(mergedcleandataset[[#This Row],[dteday]],"yyyy")</f>
        <v>2011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s="2">
        <f>DATE(mergedcleandataset[[#This Row],[yr]],mergedcleandataset[[#This Row],[mnth]],mergedcleandataset[[#This Row],[day]])</f>
        <v>40547</v>
      </c>
      <c r="R93">
        <f>DAY(mergedcleandataset[[#This Row],[dteday]])</f>
        <v>4</v>
      </c>
      <c r="S93" t="str">
        <f>IF(mergedcleandataset[[#This Row],[weekday]]&gt;=5,"Yes","No")</f>
        <v>No</v>
      </c>
      <c r="T93" t="b">
        <f>ISBLANK(mergedcleandataset[[#This Row],[atemp]])</f>
        <v>0</v>
      </c>
      <c r="U93" t="str">
        <f t="shared" si="1"/>
        <v>Spring</v>
      </c>
      <c r="V93" t="str">
        <f>TEXT(mergedcleandataset[[#This Row],[date]],"dddd")</f>
        <v>Tuesday</v>
      </c>
      <c r="W9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" spans="1:23" x14ac:dyDescent="0.25">
      <c r="A94">
        <v>93</v>
      </c>
      <c r="B94" s="1">
        <v>40548</v>
      </c>
      <c r="C94">
        <v>1</v>
      </c>
      <c r="D94" t="str">
        <f>TEXT(mergedcleandataset[[#This Row],[dteday]],"yyyy")</f>
        <v>2011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s="2">
        <f>DATE(mergedcleandataset[[#This Row],[yr]],mergedcleandataset[[#This Row],[mnth]],mergedcleandataset[[#This Row],[day]])</f>
        <v>40548</v>
      </c>
      <c r="R94">
        <f>DAY(mergedcleandataset[[#This Row],[dteday]])</f>
        <v>5</v>
      </c>
      <c r="S94" t="str">
        <f>IF(mergedcleandataset[[#This Row],[weekday]]&gt;=5,"Yes","No")</f>
        <v>No</v>
      </c>
      <c r="T94" t="b">
        <f>ISBLANK(mergedcleandataset[[#This Row],[atemp]])</f>
        <v>0</v>
      </c>
      <c r="U94" t="str">
        <f t="shared" si="1"/>
        <v>Spring</v>
      </c>
      <c r="V94" t="str">
        <f>TEXT(mergedcleandataset[[#This Row],[date]],"dddd")</f>
        <v>Wednesday</v>
      </c>
      <c r="W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" spans="1:23" x14ac:dyDescent="0.25">
      <c r="A95">
        <v>94</v>
      </c>
      <c r="B95" s="1">
        <v>40548</v>
      </c>
      <c r="C95">
        <v>1</v>
      </c>
      <c r="D95" t="str">
        <f>TEXT(mergedcleandataset[[#This Row],[dteday]],"yyyy")</f>
        <v>2011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s="2">
        <f>DATE(mergedcleandataset[[#This Row],[yr]],mergedcleandataset[[#This Row],[mnth]],mergedcleandataset[[#This Row],[day]])</f>
        <v>40548</v>
      </c>
      <c r="R95">
        <f>DAY(mergedcleandataset[[#This Row],[dteday]])</f>
        <v>5</v>
      </c>
      <c r="S95" t="str">
        <f>IF(mergedcleandataset[[#This Row],[weekday]]&gt;=5,"Yes","No")</f>
        <v>No</v>
      </c>
      <c r="T95" t="b">
        <f>ISBLANK(mergedcleandataset[[#This Row],[atemp]])</f>
        <v>0</v>
      </c>
      <c r="U95" t="str">
        <f t="shared" si="1"/>
        <v>Spring</v>
      </c>
      <c r="V95" t="str">
        <f>TEXT(mergedcleandataset[[#This Row],[date]],"dddd")</f>
        <v>Wednesday</v>
      </c>
      <c r="W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6" spans="1:23" x14ac:dyDescent="0.25">
      <c r="A96">
        <v>95</v>
      </c>
      <c r="B96" s="1">
        <v>40548</v>
      </c>
      <c r="C96">
        <v>1</v>
      </c>
      <c r="D96" t="str">
        <f>TEXT(mergedcleandataset[[#This Row],[dteday]],"yyyy")</f>
        <v>2011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s="2">
        <f>DATE(mergedcleandataset[[#This Row],[yr]],mergedcleandataset[[#This Row],[mnth]],mergedcleandataset[[#This Row],[day]])</f>
        <v>40548</v>
      </c>
      <c r="R96">
        <f>DAY(mergedcleandataset[[#This Row],[dteday]])</f>
        <v>5</v>
      </c>
      <c r="S96" t="str">
        <f>IF(mergedcleandataset[[#This Row],[weekday]]&gt;=5,"Yes","No")</f>
        <v>No</v>
      </c>
      <c r="T96" t="b">
        <f>ISBLANK(mergedcleandataset[[#This Row],[atemp]])</f>
        <v>0</v>
      </c>
      <c r="U96" t="str">
        <f t="shared" si="1"/>
        <v>Spring</v>
      </c>
      <c r="V96" t="str">
        <f>TEXT(mergedcleandataset[[#This Row],[date]],"dddd")</f>
        <v>Wednesday</v>
      </c>
      <c r="W9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7" spans="1:23" x14ac:dyDescent="0.25">
      <c r="A97">
        <v>96</v>
      </c>
      <c r="B97" s="1">
        <v>40548</v>
      </c>
      <c r="C97">
        <v>1</v>
      </c>
      <c r="D97" t="str">
        <f>TEXT(mergedcleandataset[[#This Row],[dteday]],"yyyy")</f>
        <v>2011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s="2">
        <f>DATE(mergedcleandataset[[#This Row],[yr]],mergedcleandataset[[#This Row],[mnth]],mergedcleandataset[[#This Row],[day]])</f>
        <v>40548</v>
      </c>
      <c r="R97">
        <f>DAY(mergedcleandataset[[#This Row],[dteday]])</f>
        <v>5</v>
      </c>
      <c r="S97" t="str">
        <f>IF(mergedcleandataset[[#This Row],[weekday]]&gt;=5,"Yes","No")</f>
        <v>No</v>
      </c>
      <c r="T97" t="b">
        <f>ISBLANK(mergedcleandataset[[#This Row],[atemp]])</f>
        <v>0</v>
      </c>
      <c r="U97" t="str">
        <f t="shared" si="1"/>
        <v>Spring</v>
      </c>
      <c r="V97" t="str">
        <f>TEXT(mergedcleandataset[[#This Row],[date]],"dddd")</f>
        <v>Wednesday</v>
      </c>
      <c r="W9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" spans="1:23" x14ac:dyDescent="0.25">
      <c r="A98">
        <v>97</v>
      </c>
      <c r="B98" s="1">
        <v>40548</v>
      </c>
      <c r="C98">
        <v>1</v>
      </c>
      <c r="D98" t="str">
        <f>TEXT(mergedcleandataset[[#This Row],[dteday]],"yyyy")</f>
        <v>2011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s="2">
        <f>DATE(mergedcleandataset[[#This Row],[yr]],mergedcleandataset[[#This Row],[mnth]],mergedcleandataset[[#This Row],[day]])</f>
        <v>40548</v>
      </c>
      <c r="R98">
        <f>DAY(mergedcleandataset[[#This Row],[dteday]])</f>
        <v>5</v>
      </c>
      <c r="S98" t="str">
        <f>IF(mergedcleandataset[[#This Row],[weekday]]&gt;=5,"Yes","No")</f>
        <v>No</v>
      </c>
      <c r="T98" t="b">
        <f>ISBLANK(mergedcleandataset[[#This Row],[atemp]])</f>
        <v>0</v>
      </c>
      <c r="U98" t="str">
        <f t="shared" si="1"/>
        <v>Spring</v>
      </c>
      <c r="V98" t="str">
        <f>TEXT(mergedcleandataset[[#This Row],[date]],"dddd")</f>
        <v>Wednesday</v>
      </c>
      <c r="W9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" spans="1:23" x14ac:dyDescent="0.25">
      <c r="A99">
        <v>98</v>
      </c>
      <c r="B99" s="1">
        <v>40548</v>
      </c>
      <c r="C99">
        <v>1</v>
      </c>
      <c r="D99" t="str">
        <f>TEXT(mergedcleandataset[[#This Row],[dteday]],"yyyy")</f>
        <v>2011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s="2">
        <f>DATE(mergedcleandataset[[#This Row],[yr]],mergedcleandataset[[#This Row],[mnth]],mergedcleandataset[[#This Row],[day]])</f>
        <v>40548</v>
      </c>
      <c r="R99">
        <f>DAY(mergedcleandataset[[#This Row],[dteday]])</f>
        <v>5</v>
      </c>
      <c r="S99" t="str">
        <f>IF(mergedcleandataset[[#This Row],[weekday]]&gt;=5,"Yes","No")</f>
        <v>No</v>
      </c>
      <c r="T99" t="b">
        <f>ISBLANK(mergedcleandataset[[#This Row],[atemp]])</f>
        <v>0</v>
      </c>
      <c r="U99" t="str">
        <f t="shared" si="1"/>
        <v>Spring</v>
      </c>
      <c r="V99" t="str">
        <f>TEXT(mergedcleandataset[[#This Row],[date]],"dddd")</f>
        <v>Wednesday</v>
      </c>
      <c r="W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0" spans="1:23" x14ac:dyDescent="0.25">
      <c r="A100">
        <v>99</v>
      </c>
      <c r="B100" s="1">
        <v>40548</v>
      </c>
      <c r="C100">
        <v>1</v>
      </c>
      <c r="D100" t="str">
        <f>TEXT(mergedcleandataset[[#This Row],[dteday]],"yyyy")</f>
        <v>2011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s="2">
        <f>DATE(mergedcleandataset[[#This Row],[yr]],mergedcleandataset[[#This Row],[mnth]],mergedcleandataset[[#This Row],[day]])</f>
        <v>40548</v>
      </c>
      <c r="R100">
        <f>DAY(mergedcleandataset[[#This Row],[dteday]])</f>
        <v>5</v>
      </c>
      <c r="S100" t="str">
        <f>IF(mergedcleandataset[[#This Row],[weekday]]&gt;=5,"Yes","No")</f>
        <v>No</v>
      </c>
      <c r="T100" t="b">
        <f>ISBLANK(mergedcleandataset[[#This Row],[atemp]])</f>
        <v>0</v>
      </c>
      <c r="U100" t="str">
        <f t="shared" si="1"/>
        <v>Spring</v>
      </c>
      <c r="V100" t="str">
        <f>TEXT(mergedcleandataset[[#This Row],[date]],"dddd")</f>
        <v>Wednesday</v>
      </c>
      <c r="W1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1" spans="1:23" x14ac:dyDescent="0.25">
      <c r="A101">
        <v>100</v>
      </c>
      <c r="B101" s="1">
        <v>40548</v>
      </c>
      <c r="C101">
        <v>1</v>
      </c>
      <c r="D101" t="str">
        <f>TEXT(mergedcleandataset[[#This Row],[dteday]],"yyyy")</f>
        <v>2011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s="2">
        <f>DATE(mergedcleandataset[[#This Row],[yr]],mergedcleandataset[[#This Row],[mnth]],mergedcleandataset[[#This Row],[day]])</f>
        <v>40548</v>
      </c>
      <c r="R101">
        <f>DAY(mergedcleandataset[[#This Row],[dteday]])</f>
        <v>5</v>
      </c>
      <c r="S101" t="str">
        <f>IF(mergedcleandataset[[#This Row],[weekday]]&gt;=5,"Yes","No")</f>
        <v>No</v>
      </c>
      <c r="T101" t="b">
        <f>ISBLANK(mergedcleandataset[[#This Row],[atemp]])</f>
        <v>0</v>
      </c>
      <c r="U101" t="str">
        <f t="shared" si="1"/>
        <v>Spring</v>
      </c>
      <c r="V101" t="str">
        <f>TEXT(mergedcleandataset[[#This Row],[date]],"dddd")</f>
        <v>Wednesday</v>
      </c>
      <c r="W1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2" spans="1:23" x14ac:dyDescent="0.25">
      <c r="A102">
        <v>101</v>
      </c>
      <c r="B102" s="1">
        <v>40548</v>
      </c>
      <c r="C102">
        <v>1</v>
      </c>
      <c r="D102" t="str">
        <f>TEXT(mergedcleandataset[[#This Row],[dteday]],"yyyy")</f>
        <v>2011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s="2">
        <f>DATE(mergedcleandataset[[#This Row],[yr]],mergedcleandataset[[#This Row],[mnth]],mergedcleandataset[[#This Row],[day]])</f>
        <v>40548</v>
      </c>
      <c r="R102">
        <f>DAY(mergedcleandataset[[#This Row],[dteday]])</f>
        <v>5</v>
      </c>
      <c r="S102" t="str">
        <f>IF(mergedcleandataset[[#This Row],[weekday]]&gt;=5,"Yes","No")</f>
        <v>No</v>
      </c>
      <c r="T102" t="b">
        <f>ISBLANK(mergedcleandataset[[#This Row],[atemp]])</f>
        <v>0</v>
      </c>
      <c r="U102" t="str">
        <f t="shared" si="1"/>
        <v>Spring</v>
      </c>
      <c r="V102" t="str">
        <f>TEXT(mergedcleandataset[[#This Row],[date]],"dddd")</f>
        <v>Wednesday</v>
      </c>
      <c r="W10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3" spans="1:23" x14ac:dyDescent="0.25">
      <c r="A103">
        <v>102</v>
      </c>
      <c r="B103" s="1">
        <v>40548</v>
      </c>
      <c r="C103">
        <v>1</v>
      </c>
      <c r="D103" t="str">
        <f>TEXT(mergedcleandataset[[#This Row],[dteday]],"yyyy")</f>
        <v>2011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s="2">
        <f>DATE(mergedcleandataset[[#This Row],[yr]],mergedcleandataset[[#This Row],[mnth]],mergedcleandataset[[#This Row],[day]])</f>
        <v>40548</v>
      </c>
      <c r="R103">
        <f>DAY(mergedcleandataset[[#This Row],[dteday]])</f>
        <v>5</v>
      </c>
      <c r="S103" t="str">
        <f>IF(mergedcleandataset[[#This Row],[weekday]]&gt;=5,"Yes","No")</f>
        <v>No</v>
      </c>
      <c r="T103" t="b">
        <f>ISBLANK(mergedcleandataset[[#This Row],[atemp]])</f>
        <v>0</v>
      </c>
      <c r="U103" t="str">
        <f t="shared" si="1"/>
        <v>Spring</v>
      </c>
      <c r="V103" t="str">
        <f>TEXT(mergedcleandataset[[#This Row],[date]],"dddd")</f>
        <v>Wednesday</v>
      </c>
      <c r="W10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4" spans="1:23" x14ac:dyDescent="0.25">
      <c r="A104">
        <v>103</v>
      </c>
      <c r="B104" s="1">
        <v>40548</v>
      </c>
      <c r="C104">
        <v>1</v>
      </c>
      <c r="D104" t="str">
        <f>TEXT(mergedcleandataset[[#This Row],[dteday]],"yyyy")</f>
        <v>2011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s="2">
        <f>DATE(mergedcleandataset[[#This Row],[yr]],mergedcleandataset[[#This Row],[mnth]],mergedcleandataset[[#This Row],[day]])</f>
        <v>40548</v>
      </c>
      <c r="R104">
        <f>DAY(mergedcleandataset[[#This Row],[dteday]])</f>
        <v>5</v>
      </c>
      <c r="S104" t="str">
        <f>IF(mergedcleandataset[[#This Row],[weekday]]&gt;=5,"Yes","No")</f>
        <v>No</v>
      </c>
      <c r="T104" t="b">
        <f>ISBLANK(mergedcleandataset[[#This Row],[atemp]])</f>
        <v>0</v>
      </c>
      <c r="U104" t="str">
        <f t="shared" si="1"/>
        <v>Spring</v>
      </c>
      <c r="V104" t="str">
        <f>TEXT(mergedcleandataset[[#This Row],[date]],"dddd")</f>
        <v>Wednesday</v>
      </c>
      <c r="W10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5" spans="1:23" x14ac:dyDescent="0.25">
      <c r="A105">
        <v>104</v>
      </c>
      <c r="B105" s="1">
        <v>40548</v>
      </c>
      <c r="C105">
        <v>1</v>
      </c>
      <c r="D105" t="str">
        <f>TEXT(mergedcleandataset[[#This Row],[dteday]],"yyyy")</f>
        <v>2011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s="2">
        <f>DATE(mergedcleandataset[[#This Row],[yr]],mergedcleandataset[[#This Row],[mnth]],mergedcleandataset[[#This Row],[day]])</f>
        <v>40548</v>
      </c>
      <c r="R105">
        <f>DAY(mergedcleandataset[[#This Row],[dteday]])</f>
        <v>5</v>
      </c>
      <c r="S105" t="str">
        <f>IF(mergedcleandataset[[#This Row],[weekday]]&gt;=5,"Yes","No")</f>
        <v>No</v>
      </c>
      <c r="T105" t="b">
        <f>ISBLANK(mergedcleandataset[[#This Row],[atemp]])</f>
        <v>0</v>
      </c>
      <c r="U105" t="str">
        <f t="shared" si="1"/>
        <v>Spring</v>
      </c>
      <c r="V105" t="str">
        <f>TEXT(mergedcleandataset[[#This Row],[date]],"dddd")</f>
        <v>Wednesday</v>
      </c>
      <c r="W10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6" spans="1:23" x14ac:dyDescent="0.25">
      <c r="A106">
        <v>105</v>
      </c>
      <c r="B106" s="1">
        <v>40548</v>
      </c>
      <c r="C106">
        <v>1</v>
      </c>
      <c r="D106" t="str">
        <f>TEXT(mergedcleandataset[[#This Row],[dteday]],"yyyy")</f>
        <v>2011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s="2">
        <f>DATE(mergedcleandataset[[#This Row],[yr]],mergedcleandataset[[#This Row],[mnth]],mergedcleandataset[[#This Row],[day]])</f>
        <v>40548</v>
      </c>
      <c r="R106">
        <f>DAY(mergedcleandataset[[#This Row],[dteday]])</f>
        <v>5</v>
      </c>
      <c r="S106" t="str">
        <f>IF(mergedcleandataset[[#This Row],[weekday]]&gt;=5,"Yes","No")</f>
        <v>No</v>
      </c>
      <c r="T106" t="b">
        <f>ISBLANK(mergedcleandataset[[#This Row],[atemp]])</f>
        <v>0</v>
      </c>
      <c r="U106" t="str">
        <f t="shared" si="1"/>
        <v>Spring</v>
      </c>
      <c r="V106" t="str">
        <f>TEXT(mergedcleandataset[[#This Row],[date]],"dddd")</f>
        <v>Wednesday</v>
      </c>
      <c r="W10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7" spans="1:23" x14ac:dyDescent="0.25">
      <c r="A107">
        <v>106</v>
      </c>
      <c r="B107" s="1">
        <v>40548</v>
      </c>
      <c r="C107">
        <v>1</v>
      </c>
      <c r="D107" t="str">
        <f>TEXT(mergedcleandataset[[#This Row],[dteday]],"yyyy")</f>
        <v>2011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s="2">
        <f>DATE(mergedcleandataset[[#This Row],[yr]],mergedcleandataset[[#This Row],[mnth]],mergedcleandataset[[#This Row],[day]])</f>
        <v>40548</v>
      </c>
      <c r="R107">
        <f>DAY(mergedcleandataset[[#This Row],[dteday]])</f>
        <v>5</v>
      </c>
      <c r="S107" t="str">
        <f>IF(mergedcleandataset[[#This Row],[weekday]]&gt;=5,"Yes","No")</f>
        <v>No</v>
      </c>
      <c r="T107" t="b">
        <f>ISBLANK(mergedcleandataset[[#This Row],[atemp]])</f>
        <v>0</v>
      </c>
      <c r="U107" t="str">
        <f t="shared" si="1"/>
        <v>Spring</v>
      </c>
      <c r="V107" t="str">
        <f>TEXT(mergedcleandataset[[#This Row],[date]],"dddd")</f>
        <v>Wednesday</v>
      </c>
      <c r="W10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8" spans="1:23" x14ac:dyDescent="0.25">
      <c r="A108">
        <v>107</v>
      </c>
      <c r="B108" s="1">
        <v>40548</v>
      </c>
      <c r="C108">
        <v>1</v>
      </c>
      <c r="D108" t="str">
        <f>TEXT(mergedcleandataset[[#This Row],[dteday]],"yyyy")</f>
        <v>2011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s="2">
        <f>DATE(mergedcleandataset[[#This Row],[yr]],mergedcleandataset[[#This Row],[mnth]],mergedcleandataset[[#This Row],[day]])</f>
        <v>40548</v>
      </c>
      <c r="R108">
        <f>DAY(mergedcleandataset[[#This Row],[dteday]])</f>
        <v>5</v>
      </c>
      <c r="S108" t="str">
        <f>IF(mergedcleandataset[[#This Row],[weekday]]&gt;=5,"Yes","No")</f>
        <v>No</v>
      </c>
      <c r="T108" t="b">
        <f>ISBLANK(mergedcleandataset[[#This Row],[atemp]])</f>
        <v>0</v>
      </c>
      <c r="U108" t="str">
        <f t="shared" si="1"/>
        <v>Spring</v>
      </c>
      <c r="V108" t="str">
        <f>TEXT(mergedcleandataset[[#This Row],[date]],"dddd")</f>
        <v>Wednesday</v>
      </c>
      <c r="W10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9" spans="1:23" x14ac:dyDescent="0.25">
      <c r="A109">
        <v>108</v>
      </c>
      <c r="B109" s="1">
        <v>40548</v>
      </c>
      <c r="C109">
        <v>1</v>
      </c>
      <c r="D109" t="str">
        <f>TEXT(mergedcleandataset[[#This Row],[dteday]],"yyyy")</f>
        <v>2011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s="2">
        <f>DATE(mergedcleandataset[[#This Row],[yr]],mergedcleandataset[[#This Row],[mnth]],mergedcleandataset[[#This Row],[day]])</f>
        <v>40548</v>
      </c>
      <c r="R109">
        <f>DAY(mergedcleandataset[[#This Row],[dteday]])</f>
        <v>5</v>
      </c>
      <c r="S109" t="str">
        <f>IF(mergedcleandataset[[#This Row],[weekday]]&gt;=5,"Yes","No")</f>
        <v>No</v>
      </c>
      <c r="T109" t="b">
        <f>ISBLANK(mergedcleandataset[[#This Row],[atemp]])</f>
        <v>0</v>
      </c>
      <c r="U109" t="str">
        <f t="shared" si="1"/>
        <v>Spring</v>
      </c>
      <c r="V109" t="str">
        <f>TEXT(mergedcleandataset[[#This Row],[date]],"dddd")</f>
        <v>Wednesday</v>
      </c>
      <c r="W10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0" spans="1:23" x14ac:dyDescent="0.25">
      <c r="A110">
        <v>109</v>
      </c>
      <c r="B110" s="1">
        <v>40548</v>
      </c>
      <c r="C110">
        <v>1</v>
      </c>
      <c r="D110" t="str">
        <f>TEXT(mergedcleandataset[[#This Row],[dteday]],"yyyy")</f>
        <v>2011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s="2">
        <f>DATE(mergedcleandataset[[#This Row],[yr]],mergedcleandataset[[#This Row],[mnth]],mergedcleandataset[[#This Row],[day]])</f>
        <v>40548</v>
      </c>
      <c r="R110">
        <f>DAY(mergedcleandataset[[#This Row],[dteday]])</f>
        <v>5</v>
      </c>
      <c r="S110" t="str">
        <f>IF(mergedcleandataset[[#This Row],[weekday]]&gt;=5,"Yes","No")</f>
        <v>No</v>
      </c>
      <c r="T110" t="b">
        <f>ISBLANK(mergedcleandataset[[#This Row],[atemp]])</f>
        <v>0</v>
      </c>
      <c r="U110" t="str">
        <f t="shared" si="1"/>
        <v>Spring</v>
      </c>
      <c r="V110" t="str">
        <f>TEXT(mergedcleandataset[[#This Row],[date]],"dddd")</f>
        <v>Wednesday</v>
      </c>
      <c r="W1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1" spans="1:23" x14ac:dyDescent="0.25">
      <c r="A111">
        <v>110</v>
      </c>
      <c r="B111" s="1">
        <v>40548</v>
      </c>
      <c r="C111">
        <v>1</v>
      </c>
      <c r="D111" t="str">
        <f>TEXT(mergedcleandataset[[#This Row],[dteday]],"yyyy")</f>
        <v>2011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s="2">
        <f>DATE(mergedcleandataset[[#This Row],[yr]],mergedcleandataset[[#This Row],[mnth]],mergedcleandataset[[#This Row],[day]])</f>
        <v>40548</v>
      </c>
      <c r="R111">
        <f>DAY(mergedcleandataset[[#This Row],[dteday]])</f>
        <v>5</v>
      </c>
      <c r="S111" t="str">
        <f>IF(mergedcleandataset[[#This Row],[weekday]]&gt;=5,"Yes","No")</f>
        <v>No</v>
      </c>
      <c r="T111" t="b">
        <f>ISBLANK(mergedcleandataset[[#This Row],[atemp]])</f>
        <v>0</v>
      </c>
      <c r="U111" t="str">
        <f t="shared" si="1"/>
        <v>Spring</v>
      </c>
      <c r="V111" t="str">
        <f>TEXT(mergedcleandataset[[#This Row],[date]],"dddd")</f>
        <v>Wednesday</v>
      </c>
      <c r="W1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2" spans="1:23" x14ac:dyDescent="0.25">
      <c r="A112">
        <v>111</v>
      </c>
      <c r="B112" s="1">
        <v>40548</v>
      </c>
      <c r="C112">
        <v>1</v>
      </c>
      <c r="D112" t="str">
        <f>TEXT(mergedcleandataset[[#This Row],[dteday]],"yyyy")</f>
        <v>2011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s="2">
        <f>DATE(mergedcleandataset[[#This Row],[yr]],mergedcleandataset[[#This Row],[mnth]],mergedcleandataset[[#This Row],[day]])</f>
        <v>40548</v>
      </c>
      <c r="R112">
        <f>DAY(mergedcleandataset[[#This Row],[dteday]])</f>
        <v>5</v>
      </c>
      <c r="S112" t="str">
        <f>IF(mergedcleandataset[[#This Row],[weekday]]&gt;=5,"Yes","No")</f>
        <v>No</v>
      </c>
      <c r="T112" t="b">
        <f>ISBLANK(mergedcleandataset[[#This Row],[atemp]])</f>
        <v>0</v>
      </c>
      <c r="U112" t="str">
        <f t="shared" si="1"/>
        <v>Spring</v>
      </c>
      <c r="V112" t="str">
        <f>TEXT(mergedcleandataset[[#This Row],[date]],"dddd")</f>
        <v>Wednesday</v>
      </c>
      <c r="W1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3" spans="1:23" x14ac:dyDescent="0.25">
      <c r="A113">
        <v>112</v>
      </c>
      <c r="B113" s="1">
        <v>40548</v>
      </c>
      <c r="C113">
        <v>1</v>
      </c>
      <c r="D113" t="str">
        <f>TEXT(mergedcleandataset[[#This Row],[dteday]],"yyyy")</f>
        <v>2011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s="2">
        <f>DATE(mergedcleandataset[[#This Row],[yr]],mergedcleandataset[[#This Row],[mnth]],mergedcleandataset[[#This Row],[day]])</f>
        <v>40548</v>
      </c>
      <c r="R113">
        <f>DAY(mergedcleandataset[[#This Row],[dteday]])</f>
        <v>5</v>
      </c>
      <c r="S113" t="str">
        <f>IF(mergedcleandataset[[#This Row],[weekday]]&gt;=5,"Yes","No")</f>
        <v>No</v>
      </c>
      <c r="T113" t="b">
        <f>ISBLANK(mergedcleandataset[[#This Row],[atemp]])</f>
        <v>0</v>
      </c>
      <c r="U113" t="str">
        <f t="shared" si="1"/>
        <v>Spring</v>
      </c>
      <c r="V113" t="str">
        <f>TEXT(mergedcleandataset[[#This Row],[date]],"dddd")</f>
        <v>Wednesday</v>
      </c>
      <c r="W1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4" spans="1:23" x14ac:dyDescent="0.25">
      <c r="A114">
        <v>113</v>
      </c>
      <c r="B114" s="1">
        <v>40548</v>
      </c>
      <c r="C114">
        <v>1</v>
      </c>
      <c r="D114" t="str">
        <f>TEXT(mergedcleandataset[[#This Row],[dteday]],"yyyy")</f>
        <v>2011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s="2">
        <f>DATE(mergedcleandataset[[#This Row],[yr]],mergedcleandataset[[#This Row],[mnth]],mergedcleandataset[[#This Row],[day]])</f>
        <v>40548</v>
      </c>
      <c r="R114">
        <f>DAY(mergedcleandataset[[#This Row],[dteday]])</f>
        <v>5</v>
      </c>
      <c r="S114" t="str">
        <f>IF(mergedcleandataset[[#This Row],[weekday]]&gt;=5,"Yes","No")</f>
        <v>No</v>
      </c>
      <c r="T114" t="b">
        <f>ISBLANK(mergedcleandataset[[#This Row],[atemp]])</f>
        <v>0</v>
      </c>
      <c r="U114" t="str">
        <f t="shared" si="1"/>
        <v>Spring</v>
      </c>
      <c r="V114" t="str">
        <f>TEXT(mergedcleandataset[[#This Row],[date]],"dddd")</f>
        <v>Wednesday</v>
      </c>
      <c r="W1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5" spans="1:23" x14ac:dyDescent="0.25">
      <c r="A115">
        <v>114</v>
      </c>
      <c r="B115" s="1">
        <v>40548</v>
      </c>
      <c r="C115">
        <v>1</v>
      </c>
      <c r="D115" t="str">
        <f>TEXT(mergedcleandataset[[#This Row],[dteday]],"yyyy")</f>
        <v>2011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s="2">
        <f>DATE(mergedcleandataset[[#This Row],[yr]],mergedcleandataset[[#This Row],[mnth]],mergedcleandataset[[#This Row],[day]])</f>
        <v>40548</v>
      </c>
      <c r="R115">
        <f>DAY(mergedcleandataset[[#This Row],[dteday]])</f>
        <v>5</v>
      </c>
      <c r="S115" t="str">
        <f>IF(mergedcleandataset[[#This Row],[weekday]]&gt;=5,"Yes","No")</f>
        <v>No</v>
      </c>
      <c r="T115" t="b">
        <f>ISBLANK(mergedcleandataset[[#This Row],[atemp]])</f>
        <v>0</v>
      </c>
      <c r="U115" t="str">
        <f t="shared" si="1"/>
        <v>Spring</v>
      </c>
      <c r="V115" t="str">
        <f>TEXT(mergedcleandataset[[#This Row],[date]],"dddd")</f>
        <v>Wednesday</v>
      </c>
      <c r="W1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6" spans="1:23" x14ac:dyDescent="0.25">
      <c r="A116">
        <v>115</v>
      </c>
      <c r="B116" s="1">
        <v>40548</v>
      </c>
      <c r="C116">
        <v>1</v>
      </c>
      <c r="D116" t="str">
        <f>TEXT(mergedcleandataset[[#This Row],[dteday]],"yyyy")</f>
        <v>2011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s="2">
        <f>DATE(mergedcleandataset[[#This Row],[yr]],mergedcleandataset[[#This Row],[mnth]],mergedcleandataset[[#This Row],[day]])</f>
        <v>40548</v>
      </c>
      <c r="R116">
        <f>DAY(mergedcleandataset[[#This Row],[dteday]])</f>
        <v>5</v>
      </c>
      <c r="S116" t="str">
        <f>IF(mergedcleandataset[[#This Row],[weekday]]&gt;=5,"Yes","No")</f>
        <v>No</v>
      </c>
      <c r="T116" t="b">
        <f>ISBLANK(mergedcleandataset[[#This Row],[atemp]])</f>
        <v>0</v>
      </c>
      <c r="U116" t="str">
        <f t="shared" si="1"/>
        <v>Spring</v>
      </c>
      <c r="V116" t="str">
        <f>TEXT(mergedcleandataset[[#This Row],[date]],"dddd")</f>
        <v>Wednesday</v>
      </c>
      <c r="W1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7" spans="1:23" x14ac:dyDescent="0.25">
      <c r="A117">
        <v>116</v>
      </c>
      <c r="B117" s="1">
        <v>40549</v>
      </c>
      <c r="C117">
        <v>1</v>
      </c>
      <c r="D117" t="str">
        <f>TEXT(mergedcleandataset[[#This Row],[dteday]],"yyyy")</f>
        <v>2011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s="2">
        <f>DATE(mergedcleandataset[[#This Row],[yr]],mergedcleandataset[[#This Row],[mnth]],mergedcleandataset[[#This Row],[day]])</f>
        <v>40549</v>
      </c>
      <c r="R117">
        <f>DAY(mergedcleandataset[[#This Row],[dteday]])</f>
        <v>6</v>
      </c>
      <c r="S117" t="str">
        <f>IF(mergedcleandataset[[#This Row],[weekday]]&gt;=5,"Yes","No")</f>
        <v>No</v>
      </c>
      <c r="T117" t="b">
        <f>ISBLANK(mergedcleandataset[[#This Row],[atemp]])</f>
        <v>0</v>
      </c>
      <c r="U117" t="str">
        <f t="shared" si="1"/>
        <v>Spring</v>
      </c>
      <c r="V117" t="str">
        <f>TEXT(mergedcleandataset[[#This Row],[date]],"dddd")</f>
        <v>Thursday</v>
      </c>
      <c r="W1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8" spans="1:23" x14ac:dyDescent="0.25">
      <c r="A118">
        <v>117</v>
      </c>
      <c r="B118" s="1">
        <v>40549</v>
      </c>
      <c r="C118">
        <v>1</v>
      </c>
      <c r="D118" t="str">
        <f>TEXT(mergedcleandataset[[#This Row],[dteday]],"yyyy")</f>
        <v>2011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s="2">
        <f>DATE(mergedcleandataset[[#This Row],[yr]],mergedcleandataset[[#This Row],[mnth]],mergedcleandataset[[#This Row],[day]])</f>
        <v>40549</v>
      </c>
      <c r="R118">
        <f>DAY(mergedcleandataset[[#This Row],[dteday]])</f>
        <v>6</v>
      </c>
      <c r="S118" t="str">
        <f>IF(mergedcleandataset[[#This Row],[weekday]]&gt;=5,"Yes","No")</f>
        <v>No</v>
      </c>
      <c r="T118" t="b">
        <f>ISBLANK(mergedcleandataset[[#This Row],[atemp]])</f>
        <v>0</v>
      </c>
      <c r="U118" t="str">
        <f t="shared" si="1"/>
        <v>Spring</v>
      </c>
      <c r="V118" t="str">
        <f>TEXT(mergedcleandataset[[#This Row],[date]],"dddd")</f>
        <v>Thursday</v>
      </c>
      <c r="W1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19" spans="1:23" x14ac:dyDescent="0.25">
      <c r="A119">
        <v>118</v>
      </c>
      <c r="B119" s="1">
        <v>40549</v>
      </c>
      <c r="C119">
        <v>1</v>
      </c>
      <c r="D119" t="str">
        <f>TEXT(mergedcleandataset[[#This Row],[dteday]],"yyyy")</f>
        <v>2011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s="2">
        <f>DATE(mergedcleandataset[[#This Row],[yr]],mergedcleandataset[[#This Row],[mnth]],mergedcleandataset[[#This Row],[day]])</f>
        <v>40549</v>
      </c>
      <c r="R119">
        <f>DAY(mergedcleandataset[[#This Row],[dteday]])</f>
        <v>6</v>
      </c>
      <c r="S119" t="str">
        <f>IF(mergedcleandataset[[#This Row],[weekday]]&gt;=5,"Yes","No")</f>
        <v>No</v>
      </c>
      <c r="T119" t="b">
        <f>ISBLANK(mergedcleandataset[[#This Row],[atemp]])</f>
        <v>0</v>
      </c>
      <c r="U119" t="str">
        <f t="shared" si="1"/>
        <v>Spring</v>
      </c>
      <c r="V119" t="str">
        <f>TEXT(mergedcleandataset[[#This Row],[date]],"dddd")</f>
        <v>Thursday</v>
      </c>
      <c r="W1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20" spans="1:23" x14ac:dyDescent="0.25">
      <c r="A120">
        <v>119</v>
      </c>
      <c r="B120" s="1">
        <v>40549</v>
      </c>
      <c r="C120">
        <v>1</v>
      </c>
      <c r="D120" t="str">
        <f>TEXT(mergedcleandataset[[#This Row],[dteday]],"yyyy")</f>
        <v>2011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s="2">
        <f>DATE(mergedcleandataset[[#This Row],[yr]],mergedcleandataset[[#This Row],[mnth]],mergedcleandataset[[#This Row],[day]])</f>
        <v>40549</v>
      </c>
      <c r="R120">
        <f>DAY(mergedcleandataset[[#This Row],[dteday]])</f>
        <v>6</v>
      </c>
      <c r="S120" t="str">
        <f>IF(mergedcleandataset[[#This Row],[weekday]]&gt;=5,"Yes","No")</f>
        <v>No</v>
      </c>
      <c r="T120" t="b">
        <f>ISBLANK(mergedcleandataset[[#This Row],[atemp]])</f>
        <v>0</v>
      </c>
      <c r="U120" t="str">
        <f t="shared" si="1"/>
        <v>Spring</v>
      </c>
      <c r="V120" t="str">
        <f>TEXT(mergedcleandataset[[#This Row],[date]],"dddd")</f>
        <v>Thursday</v>
      </c>
      <c r="W12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21" spans="1:23" x14ac:dyDescent="0.25">
      <c r="A121">
        <v>120</v>
      </c>
      <c r="B121" s="1">
        <v>40549</v>
      </c>
      <c r="C121">
        <v>1</v>
      </c>
      <c r="D121" t="str">
        <f>TEXT(mergedcleandataset[[#This Row],[dteday]],"yyyy")</f>
        <v>2011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s="2">
        <f>DATE(mergedcleandataset[[#This Row],[yr]],mergedcleandataset[[#This Row],[mnth]],mergedcleandataset[[#This Row],[day]])</f>
        <v>40549</v>
      </c>
      <c r="R121">
        <f>DAY(mergedcleandataset[[#This Row],[dteday]])</f>
        <v>6</v>
      </c>
      <c r="S121" t="str">
        <f>IF(mergedcleandataset[[#This Row],[weekday]]&gt;=5,"Yes","No")</f>
        <v>No</v>
      </c>
      <c r="T121" t="b">
        <f>ISBLANK(mergedcleandataset[[#This Row],[atemp]])</f>
        <v>0</v>
      </c>
      <c r="U121" t="str">
        <f t="shared" si="1"/>
        <v>Spring</v>
      </c>
      <c r="V121" t="str">
        <f>TEXT(mergedcleandataset[[#This Row],[date]],"dddd")</f>
        <v>Thursday</v>
      </c>
      <c r="W12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22" spans="1:23" x14ac:dyDescent="0.25">
      <c r="A122">
        <v>121</v>
      </c>
      <c r="B122" s="1">
        <v>40549</v>
      </c>
      <c r="C122">
        <v>1</v>
      </c>
      <c r="D122" t="str">
        <f>TEXT(mergedcleandataset[[#This Row],[dteday]],"yyyy")</f>
        <v>2011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s="2">
        <f>DATE(mergedcleandataset[[#This Row],[yr]],mergedcleandataset[[#This Row],[mnth]],mergedcleandataset[[#This Row],[day]])</f>
        <v>40549</v>
      </c>
      <c r="R122">
        <f>DAY(mergedcleandataset[[#This Row],[dteday]])</f>
        <v>6</v>
      </c>
      <c r="S122" t="str">
        <f>IF(mergedcleandataset[[#This Row],[weekday]]&gt;=5,"Yes","No")</f>
        <v>No</v>
      </c>
      <c r="T122" t="b">
        <f>ISBLANK(mergedcleandataset[[#This Row],[atemp]])</f>
        <v>0</v>
      </c>
      <c r="U122" t="str">
        <f t="shared" si="1"/>
        <v>Spring</v>
      </c>
      <c r="V122" t="str">
        <f>TEXT(mergedcleandataset[[#This Row],[date]],"dddd")</f>
        <v>Thursday</v>
      </c>
      <c r="W12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23" spans="1:23" x14ac:dyDescent="0.25">
      <c r="A123">
        <v>122</v>
      </c>
      <c r="B123" s="1">
        <v>40549</v>
      </c>
      <c r="C123">
        <v>1</v>
      </c>
      <c r="D123" t="str">
        <f>TEXT(mergedcleandataset[[#This Row],[dteday]],"yyyy")</f>
        <v>2011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s="2">
        <f>DATE(mergedcleandataset[[#This Row],[yr]],mergedcleandataset[[#This Row],[mnth]],mergedcleandataset[[#This Row],[day]])</f>
        <v>40549</v>
      </c>
      <c r="R123">
        <f>DAY(mergedcleandataset[[#This Row],[dteday]])</f>
        <v>6</v>
      </c>
      <c r="S123" t="str">
        <f>IF(mergedcleandataset[[#This Row],[weekday]]&gt;=5,"Yes","No")</f>
        <v>No</v>
      </c>
      <c r="T123" t="b">
        <f>ISBLANK(mergedcleandataset[[#This Row],[atemp]])</f>
        <v>0</v>
      </c>
      <c r="U123" t="str">
        <f t="shared" si="1"/>
        <v>Spring</v>
      </c>
      <c r="V123" t="str">
        <f>TEXT(mergedcleandataset[[#This Row],[date]],"dddd")</f>
        <v>Thursday</v>
      </c>
      <c r="W12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24" spans="1:23" x14ac:dyDescent="0.25">
      <c r="A124">
        <v>123</v>
      </c>
      <c r="B124" s="1">
        <v>40549</v>
      </c>
      <c r="C124">
        <v>1</v>
      </c>
      <c r="D124" t="str">
        <f>TEXT(mergedcleandataset[[#This Row],[dteday]],"yyyy")</f>
        <v>2011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s="2">
        <f>DATE(mergedcleandataset[[#This Row],[yr]],mergedcleandataset[[#This Row],[mnth]],mergedcleandataset[[#This Row],[day]])</f>
        <v>40549</v>
      </c>
      <c r="R124">
        <f>DAY(mergedcleandataset[[#This Row],[dteday]])</f>
        <v>6</v>
      </c>
      <c r="S124" t="str">
        <f>IF(mergedcleandataset[[#This Row],[weekday]]&gt;=5,"Yes","No")</f>
        <v>No</v>
      </c>
      <c r="T124" t="b">
        <f>ISBLANK(mergedcleandataset[[#This Row],[atemp]])</f>
        <v>0</v>
      </c>
      <c r="U124" t="str">
        <f t="shared" si="1"/>
        <v>Spring</v>
      </c>
      <c r="V124" t="str">
        <f>TEXT(mergedcleandataset[[#This Row],[date]],"dddd")</f>
        <v>Thursday</v>
      </c>
      <c r="W12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25" spans="1:23" x14ac:dyDescent="0.25">
      <c r="A125">
        <v>124</v>
      </c>
      <c r="B125" s="1">
        <v>40549</v>
      </c>
      <c r="C125">
        <v>1</v>
      </c>
      <c r="D125" t="str">
        <f>TEXT(mergedcleandataset[[#This Row],[dteday]],"yyyy")</f>
        <v>2011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s="2">
        <f>DATE(mergedcleandataset[[#This Row],[yr]],mergedcleandataset[[#This Row],[mnth]],mergedcleandataset[[#This Row],[day]])</f>
        <v>40549</v>
      </c>
      <c r="R125">
        <f>DAY(mergedcleandataset[[#This Row],[dteday]])</f>
        <v>6</v>
      </c>
      <c r="S125" t="str">
        <f>IF(mergedcleandataset[[#This Row],[weekday]]&gt;=5,"Yes","No")</f>
        <v>No</v>
      </c>
      <c r="T125" t="b">
        <f>ISBLANK(mergedcleandataset[[#This Row],[atemp]])</f>
        <v>0</v>
      </c>
      <c r="U125" t="str">
        <f t="shared" si="1"/>
        <v>Spring</v>
      </c>
      <c r="V125" t="str">
        <f>TEXT(mergedcleandataset[[#This Row],[date]],"dddd")</f>
        <v>Thursday</v>
      </c>
      <c r="W12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26" spans="1:23" x14ac:dyDescent="0.25">
      <c r="A126">
        <v>125</v>
      </c>
      <c r="B126" s="1">
        <v>40549</v>
      </c>
      <c r="C126">
        <v>1</v>
      </c>
      <c r="D126" t="str">
        <f>TEXT(mergedcleandataset[[#This Row],[dteday]],"yyyy")</f>
        <v>2011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s="2">
        <f>DATE(mergedcleandataset[[#This Row],[yr]],mergedcleandataset[[#This Row],[mnth]],mergedcleandataset[[#This Row],[day]])</f>
        <v>40549</v>
      </c>
      <c r="R126">
        <f>DAY(mergedcleandataset[[#This Row],[dteday]])</f>
        <v>6</v>
      </c>
      <c r="S126" t="str">
        <f>IF(mergedcleandataset[[#This Row],[weekday]]&gt;=5,"Yes","No")</f>
        <v>No</v>
      </c>
      <c r="T126" t="b">
        <f>ISBLANK(mergedcleandataset[[#This Row],[atemp]])</f>
        <v>0</v>
      </c>
      <c r="U126" t="str">
        <f t="shared" si="1"/>
        <v>Spring</v>
      </c>
      <c r="V126" t="str">
        <f>TEXT(mergedcleandataset[[#This Row],[date]],"dddd")</f>
        <v>Thursday</v>
      </c>
      <c r="W1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27" spans="1:23" x14ac:dyDescent="0.25">
      <c r="A127">
        <v>126</v>
      </c>
      <c r="B127" s="1">
        <v>40549</v>
      </c>
      <c r="C127">
        <v>1</v>
      </c>
      <c r="D127" t="str">
        <f>TEXT(mergedcleandataset[[#This Row],[dteday]],"yyyy")</f>
        <v>2011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s="2">
        <f>DATE(mergedcleandataset[[#This Row],[yr]],mergedcleandataset[[#This Row],[mnth]],mergedcleandataset[[#This Row],[day]])</f>
        <v>40549</v>
      </c>
      <c r="R127">
        <f>DAY(mergedcleandataset[[#This Row],[dteday]])</f>
        <v>6</v>
      </c>
      <c r="S127" t="str">
        <f>IF(mergedcleandataset[[#This Row],[weekday]]&gt;=5,"Yes","No")</f>
        <v>No</v>
      </c>
      <c r="T127" t="b">
        <f>ISBLANK(mergedcleandataset[[#This Row],[atemp]])</f>
        <v>0</v>
      </c>
      <c r="U127" t="str">
        <f t="shared" si="1"/>
        <v>Spring</v>
      </c>
      <c r="V127" t="str">
        <f>TEXT(mergedcleandataset[[#This Row],[date]],"dddd")</f>
        <v>Thursday</v>
      </c>
      <c r="W1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28" spans="1:23" x14ac:dyDescent="0.25">
      <c r="A128">
        <v>127</v>
      </c>
      <c r="B128" s="1">
        <v>40549</v>
      </c>
      <c r="C128">
        <v>1</v>
      </c>
      <c r="D128" t="str">
        <f>TEXT(mergedcleandataset[[#This Row],[dteday]],"yyyy")</f>
        <v>2011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s="2">
        <f>DATE(mergedcleandataset[[#This Row],[yr]],mergedcleandataset[[#This Row],[mnth]],mergedcleandataset[[#This Row],[day]])</f>
        <v>40549</v>
      </c>
      <c r="R128">
        <f>DAY(mergedcleandataset[[#This Row],[dteday]])</f>
        <v>6</v>
      </c>
      <c r="S128" t="str">
        <f>IF(mergedcleandataset[[#This Row],[weekday]]&gt;=5,"Yes","No")</f>
        <v>No</v>
      </c>
      <c r="T128" t="b">
        <f>ISBLANK(mergedcleandataset[[#This Row],[atemp]])</f>
        <v>0</v>
      </c>
      <c r="U128" t="str">
        <f t="shared" si="1"/>
        <v>Spring</v>
      </c>
      <c r="V128" t="str">
        <f>TEXT(mergedcleandataset[[#This Row],[date]],"dddd")</f>
        <v>Thursday</v>
      </c>
      <c r="W1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29" spans="1:23" x14ac:dyDescent="0.25">
      <c r="A129">
        <v>128</v>
      </c>
      <c r="B129" s="1">
        <v>40549</v>
      </c>
      <c r="C129">
        <v>1</v>
      </c>
      <c r="D129" t="str">
        <f>TEXT(mergedcleandataset[[#This Row],[dteday]],"yyyy")</f>
        <v>2011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s="2">
        <f>DATE(mergedcleandataset[[#This Row],[yr]],mergedcleandataset[[#This Row],[mnth]],mergedcleandataset[[#This Row],[day]])</f>
        <v>40549</v>
      </c>
      <c r="R129">
        <f>DAY(mergedcleandataset[[#This Row],[dteday]])</f>
        <v>6</v>
      </c>
      <c r="S129" t="str">
        <f>IF(mergedcleandataset[[#This Row],[weekday]]&gt;=5,"Yes","No")</f>
        <v>No</v>
      </c>
      <c r="T129" t="b">
        <f>ISBLANK(mergedcleandataset[[#This Row],[atemp]])</f>
        <v>0</v>
      </c>
      <c r="U129" t="str">
        <f t="shared" si="1"/>
        <v>Spring</v>
      </c>
      <c r="V129" t="str">
        <f>TEXT(mergedcleandataset[[#This Row],[date]],"dddd")</f>
        <v>Thursday</v>
      </c>
      <c r="W1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0" spans="1:23" x14ac:dyDescent="0.25">
      <c r="A130">
        <v>129</v>
      </c>
      <c r="B130" s="1">
        <v>40549</v>
      </c>
      <c r="C130">
        <v>1</v>
      </c>
      <c r="D130" t="str">
        <f>TEXT(mergedcleandataset[[#This Row],[dteday]],"yyyy")</f>
        <v>2011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s="2">
        <f>DATE(mergedcleandataset[[#This Row],[yr]],mergedcleandataset[[#This Row],[mnth]],mergedcleandataset[[#This Row],[day]])</f>
        <v>40549</v>
      </c>
      <c r="R130">
        <f>DAY(mergedcleandataset[[#This Row],[dteday]])</f>
        <v>6</v>
      </c>
      <c r="S130" t="str">
        <f>IF(mergedcleandataset[[#This Row],[weekday]]&gt;=5,"Yes","No")</f>
        <v>No</v>
      </c>
      <c r="T130" t="b">
        <f>ISBLANK(mergedcleandataset[[#This Row],[atemp]])</f>
        <v>0</v>
      </c>
      <c r="U130" t="str">
        <f t="shared" ref="U130:U193" si="2">IF(C130=1,"Spring",
IF(C130=2,"Summer",
IF(C130=3,"Fall",
IF(C130=4,"Winter","Unknown"))))</f>
        <v>Spring</v>
      </c>
      <c r="V130" t="str">
        <f>TEXT(mergedcleandataset[[#This Row],[date]],"dddd")</f>
        <v>Thursday</v>
      </c>
      <c r="W1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1" spans="1:23" x14ac:dyDescent="0.25">
      <c r="A131">
        <v>130</v>
      </c>
      <c r="B131" s="1">
        <v>40549</v>
      </c>
      <c r="C131">
        <v>1</v>
      </c>
      <c r="D131" t="str">
        <f>TEXT(mergedcleandataset[[#This Row],[dteday]],"yyyy")</f>
        <v>2011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s="2">
        <f>DATE(mergedcleandataset[[#This Row],[yr]],mergedcleandataset[[#This Row],[mnth]],mergedcleandataset[[#This Row],[day]])</f>
        <v>40549</v>
      </c>
      <c r="R131">
        <f>DAY(mergedcleandataset[[#This Row],[dteday]])</f>
        <v>6</v>
      </c>
      <c r="S131" t="str">
        <f>IF(mergedcleandataset[[#This Row],[weekday]]&gt;=5,"Yes","No")</f>
        <v>No</v>
      </c>
      <c r="T131" t="b">
        <f>ISBLANK(mergedcleandataset[[#This Row],[atemp]])</f>
        <v>0</v>
      </c>
      <c r="U131" t="str">
        <f t="shared" si="2"/>
        <v>Spring</v>
      </c>
      <c r="V131" t="str">
        <f>TEXT(mergedcleandataset[[#This Row],[date]],"dddd")</f>
        <v>Thursday</v>
      </c>
      <c r="W1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2" spans="1:23" x14ac:dyDescent="0.25">
      <c r="A132">
        <v>131</v>
      </c>
      <c r="B132" s="1">
        <v>40549</v>
      </c>
      <c r="C132">
        <v>1</v>
      </c>
      <c r="D132" t="str">
        <f>TEXT(mergedcleandataset[[#This Row],[dteday]],"yyyy")</f>
        <v>2011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s="2">
        <f>DATE(mergedcleandataset[[#This Row],[yr]],mergedcleandataset[[#This Row],[mnth]],mergedcleandataset[[#This Row],[day]])</f>
        <v>40549</v>
      </c>
      <c r="R132">
        <f>DAY(mergedcleandataset[[#This Row],[dteday]])</f>
        <v>6</v>
      </c>
      <c r="S132" t="str">
        <f>IF(mergedcleandataset[[#This Row],[weekday]]&gt;=5,"Yes","No")</f>
        <v>No</v>
      </c>
      <c r="T132" t="b">
        <f>ISBLANK(mergedcleandataset[[#This Row],[atemp]])</f>
        <v>0</v>
      </c>
      <c r="U132" t="str">
        <f t="shared" si="2"/>
        <v>Spring</v>
      </c>
      <c r="V132" t="str">
        <f>TEXT(mergedcleandataset[[#This Row],[date]],"dddd")</f>
        <v>Thursday</v>
      </c>
      <c r="W1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3" spans="1:23" x14ac:dyDescent="0.25">
      <c r="A133">
        <v>132</v>
      </c>
      <c r="B133" s="1">
        <v>40549</v>
      </c>
      <c r="C133">
        <v>1</v>
      </c>
      <c r="D133" t="str">
        <f>TEXT(mergedcleandataset[[#This Row],[dteday]],"yyyy")</f>
        <v>2011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s="2">
        <f>DATE(mergedcleandataset[[#This Row],[yr]],mergedcleandataset[[#This Row],[mnth]],mergedcleandataset[[#This Row],[day]])</f>
        <v>40549</v>
      </c>
      <c r="R133">
        <f>DAY(mergedcleandataset[[#This Row],[dteday]])</f>
        <v>6</v>
      </c>
      <c r="S133" t="str">
        <f>IF(mergedcleandataset[[#This Row],[weekday]]&gt;=5,"Yes","No")</f>
        <v>No</v>
      </c>
      <c r="T133" t="b">
        <f>ISBLANK(mergedcleandataset[[#This Row],[atemp]])</f>
        <v>0</v>
      </c>
      <c r="U133" t="str">
        <f t="shared" si="2"/>
        <v>Spring</v>
      </c>
      <c r="V133" t="str">
        <f>TEXT(mergedcleandataset[[#This Row],[date]],"dddd")</f>
        <v>Thursday</v>
      </c>
      <c r="W1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4" spans="1:23" x14ac:dyDescent="0.25">
      <c r="A134">
        <v>133</v>
      </c>
      <c r="B134" s="1">
        <v>40549</v>
      </c>
      <c r="C134">
        <v>1</v>
      </c>
      <c r="D134" t="str">
        <f>TEXT(mergedcleandataset[[#This Row],[dteday]],"yyyy")</f>
        <v>2011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s="2">
        <f>DATE(mergedcleandataset[[#This Row],[yr]],mergedcleandataset[[#This Row],[mnth]],mergedcleandataset[[#This Row],[day]])</f>
        <v>40549</v>
      </c>
      <c r="R134">
        <f>DAY(mergedcleandataset[[#This Row],[dteday]])</f>
        <v>6</v>
      </c>
      <c r="S134" t="str">
        <f>IF(mergedcleandataset[[#This Row],[weekday]]&gt;=5,"Yes","No")</f>
        <v>No</v>
      </c>
      <c r="T134" t="b">
        <f>ISBLANK(mergedcleandataset[[#This Row],[atemp]])</f>
        <v>0</v>
      </c>
      <c r="U134" t="str">
        <f t="shared" si="2"/>
        <v>Spring</v>
      </c>
      <c r="V134" t="str">
        <f>TEXT(mergedcleandataset[[#This Row],[date]],"dddd")</f>
        <v>Thursday</v>
      </c>
      <c r="W1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5" spans="1:23" x14ac:dyDescent="0.25">
      <c r="A135">
        <v>134</v>
      </c>
      <c r="B135" s="1">
        <v>40549</v>
      </c>
      <c r="C135">
        <v>1</v>
      </c>
      <c r="D135" t="str">
        <f>TEXT(mergedcleandataset[[#This Row],[dteday]],"yyyy")</f>
        <v>2011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s="2">
        <f>DATE(mergedcleandataset[[#This Row],[yr]],mergedcleandataset[[#This Row],[mnth]],mergedcleandataset[[#This Row],[day]])</f>
        <v>40549</v>
      </c>
      <c r="R135">
        <f>DAY(mergedcleandataset[[#This Row],[dteday]])</f>
        <v>6</v>
      </c>
      <c r="S135" t="str">
        <f>IF(mergedcleandataset[[#This Row],[weekday]]&gt;=5,"Yes","No")</f>
        <v>No</v>
      </c>
      <c r="T135" t="b">
        <f>ISBLANK(mergedcleandataset[[#This Row],[atemp]])</f>
        <v>0</v>
      </c>
      <c r="U135" t="str">
        <f t="shared" si="2"/>
        <v>Spring</v>
      </c>
      <c r="V135" t="str">
        <f>TEXT(mergedcleandataset[[#This Row],[date]],"dddd")</f>
        <v>Thursday</v>
      </c>
      <c r="W1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6" spans="1:23" x14ac:dyDescent="0.25">
      <c r="A136">
        <v>135</v>
      </c>
      <c r="B136" s="1">
        <v>40549</v>
      </c>
      <c r="C136">
        <v>1</v>
      </c>
      <c r="D136" t="str">
        <f>TEXT(mergedcleandataset[[#This Row],[dteday]],"yyyy")</f>
        <v>2011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s="2">
        <f>DATE(mergedcleandataset[[#This Row],[yr]],mergedcleandataset[[#This Row],[mnth]],mergedcleandataset[[#This Row],[day]])</f>
        <v>40549</v>
      </c>
      <c r="R136">
        <f>DAY(mergedcleandataset[[#This Row],[dteday]])</f>
        <v>6</v>
      </c>
      <c r="S136" t="str">
        <f>IF(mergedcleandataset[[#This Row],[weekday]]&gt;=5,"Yes","No")</f>
        <v>No</v>
      </c>
      <c r="T136" t="b">
        <f>ISBLANK(mergedcleandataset[[#This Row],[atemp]])</f>
        <v>0</v>
      </c>
      <c r="U136" t="str">
        <f t="shared" si="2"/>
        <v>Spring</v>
      </c>
      <c r="V136" t="str">
        <f>TEXT(mergedcleandataset[[#This Row],[date]],"dddd")</f>
        <v>Thursday</v>
      </c>
      <c r="W1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37" spans="1:23" x14ac:dyDescent="0.25">
      <c r="A137">
        <v>136</v>
      </c>
      <c r="B137" s="1">
        <v>40549</v>
      </c>
      <c r="C137">
        <v>1</v>
      </c>
      <c r="D137" t="str">
        <f>TEXT(mergedcleandataset[[#This Row],[dteday]],"yyyy")</f>
        <v>2011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s="2">
        <f>DATE(mergedcleandataset[[#This Row],[yr]],mergedcleandataset[[#This Row],[mnth]],mergedcleandataset[[#This Row],[day]])</f>
        <v>40549</v>
      </c>
      <c r="R137">
        <f>DAY(mergedcleandataset[[#This Row],[dteday]])</f>
        <v>6</v>
      </c>
      <c r="S137" t="str">
        <f>IF(mergedcleandataset[[#This Row],[weekday]]&gt;=5,"Yes","No")</f>
        <v>No</v>
      </c>
      <c r="T137" t="b">
        <f>ISBLANK(mergedcleandataset[[#This Row],[atemp]])</f>
        <v>0</v>
      </c>
      <c r="U137" t="str">
        <f t="shared" si="2"/>
        <v>Spring</v>
      </c>
      <c r="V137" t="str">
        <f>TEXT(mergedcleandataset[[#This Row],[date]],"dddd")</f>
        <v>Thursday</v>
      </c>
      <c r="W13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38" spans="1:23" x14ac:dyDescent="0.25">
      <c r="A138">
        <v>137</v>
      </c>
      <c r="B138" s="1">
        <v>40549</v>
      </c>
      <c r="C138">
        <v>1</v>
      </c>
      <c r="D138" t="str">
        <f>TEXT(mergedcleandataset[[#This Row],[dteday]],"yyyy")</f>
        <v>2011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s="2">
        <f>DATE(mergedcleandataset[[#This Row],[yr]],mergedcleandataset[[#This Row],[mnth]],mergedcleandataset[[#This Row],[day]])</f>
        <v>40549</v>
      </c>
      <c r="R138">
        <f>DAY(mergedcleandataset[[#This Row],[dteday]])</f>
        <v>6</v>
      </c>
      <c r="S138" t="str">
        <f>IF(mergedcleandataset[[#This Row],[weekday]]&gt;=5,"Yes","No")</f>
        <v>No</v>
      </c>
      <c r="T138" t="b">
        <f>ISBLANK(mergedcleandataset[[#This Row],[atemp]])</f>
        <v>0</v>
      </c>
      <c r="U138" t="str">
        <f t="shared" si="2"/>
        <v>Spring</v>
      </c>
      <c r="V138" t="str">
        <f>TEXT(mergedcleandataset[[#This Row],[date]],"dddd")</f>
        <v>Thursday</v>
      </c>
      <c r="W13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39" spans="1:23" x14ac:dyDescent="0.25">
      <c r="A139">
        <v>138</v>
      </c>
      <c r="B139" s="1">
        <v>40549</v>
      </c>
      <c r="C139">
        <v>1</v>
      </c>
      <c r="D139" t="str">
        <f>TEXT(mergedcleandataset[[#This Row],[dteday]],"yyyy")</f>
        <v>2011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s="2">
        <f>DATE(mergedcleandataset[[#This Row],[yr]],mergedcleandataset[[#This Row],[mnth]],mergedcleandataset[[#This Row],[day]])</f>
        <v>40549</v>
      </c>
      <c r="R139">
        <f>DAY(mergedcleandataset[[#This Row],[dteday]])</f>
        <v>6</v>
      </c>
      <c r="S139" t="str">
        <f>IF(mergedcleandataset[[#This Row],[weekday]]&gt;=5,"Yes","No")</f>
        <v>No</v>
      </c>
      <c r="T139" t="b">
        <f>ISBLANK(mergedcleandataset[[#This Row],[atemp]])</f>
        <v>0</v>
      </c>
      <c r="U139" t="str">
        <f t="shared" si="2"/>
        <v>Spring</v>
      </c>
      <c r="V139" t="str">
        <f>TEXT(mergedcleandataset[[#This Row],[date]],"dddd")</f>
        <v>Thursday</v>
      </c>
      <c r="W13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40" spans="1:23" x14ac:dyDescent="0.25">
      <c r="A140">
        <v>139</v>
      </c>
      <c r="B140" s="1">
        <v>40550</v>
      </c>
      <c r="C140">
        <v>1</v>
      </c>
      <c r="D140" t="str">
        <f>TEXT(mergedcleandataset[[#This Row],[dteday]],"yyyy")</f>
        <v>2011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s="2">
        <f>DATE(mergedcleandataset[[#This Row],[yr]],mergedcleandataset[[#This Row],[mnth]],mergedcleandataset[[#This Row],[day]])</f>
        <v>40550</v>
      </c>
      <c r="R140">
        <f>DAY(mergedcleandataset[[#This Row],[dteday]])</f>
        <v>7</v>
      </c>
      <c r="S140" t="str">
        <f>IF(mergedcleandataset[[#This Row],[weekday]]&gt;=5,"Yes","No")</f>
        <v>Yes</v>
      </c>
      <c r="T140" t="b">
        <f>ISBLANK(mergedcleandataset[[#This Row],[atemp]])</f>
        <v>0</v>
      </c>
      <c r="U140" t="str">
        <f t="shared" si="2"/>
        <v>Spring</v>
      </c>
      <c r="V140" t="str">
        <f>TEXT(mergedcleandataset[[#This Row],[date]],"dddd")</f>
        <v>Friday</v>
      </c>
      <c r="W14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41" spans="1:23" x14ac:dyDescent="0.25">
      <c r="A141">
        <v>140</v>
      </c>
      <c r="B141" s="1">
        <v>40550</v>
      </c>
      <c r="C141">
        <v>1</v>
      </c>
      <c r="D141" t="str">
        <f>TEXT(mergedcleandataset[[#This Row],[dteday]],"yyyy")</f>
        <v>2011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s="2">
        <f>DATE(mergedcleandataset[[#This Row],[yr]],mergedcleandataset[[#This Row],[mnth]],mergedcleandataset[[#This Row],[day]])</f>
        <v>40550</v>
      </c>
      <c r="R141">
        <f>DAY(mergedcleandataset[[#This Row],[dteday]])</f>
        <v>7</v>
      </c>
      <c r="S141" t="str">
        <f>IF(mergedcleandataset[[#This Row],[weekday]]&gt;=5,"Yes","No")</f>
        <v>Yes</v>
      </c>
      <c r="T141" t="b">
        <f>ISBLANK(mergedcleandataset[[#This Row],[atemp]])</f>
        <v>0</v>
      </c>
      <c r="U141" t="str">
        <f t="shared" si="2"/>
        <v>Spring</v>
      </c>
      <c r="V141" t="str">
        <f>TEXT(mergedcleandataset[[#This Row],[date]],"dddd")</f>
        <v>Friday</v>
      </c>
      <c r="W14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42" spans="1:23" x14ac:dyDescent="0.25">
      <c r="A142">
        <v>141</v>
      </c>
      <c r="B142" s="1">
        <v>40550</v>
      </c>
      <c r="C142">
        <v>1</v>
      </c>
      <c r="D142" t="str">
        <f>TEXT(mergedcleandataset[[#This Row],[dteday]],"yyyy")</f>
        <v>2011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s="2">
        <f>DATE(mergedcleandataset[[#This Row],[yr]],mergedcleandataset[[#This Row],[mnth]],mergedcleandataset[[#This Row],[day]])</f>
        <v>40550</v>
      </c>
      <c r="R142">
        <f>DAY(mergedcleandataset[[#This Row],[dteday]])</f>
        <v>7</v>
      </c>
      <c r="S142" t="str">
        <f>IF(mergedcleandataset[[#This Row],[weekday]]&gt;=5,"Yes","No")</f>
        <v>Yes</v>
      </c>
      <c r="T142" t="b">
        <f>ISBLANK(mergedcleandataset[[#This Row],[atemp]])</f>
        <v>0</v>
      </c>
      <c r="U142" t="str">
        <f t="shared" si="2"/>
        <v>Spring</v>
      </c>
      <c r="V142" t="str">
        <f>TEXT(mergedcleandataset[[#This Row],[date]],"dddd")</f>
        <v>Friday</v>
      </c>
      <c r="W14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43" spans="1:23" x14ac:dyDescent="0.25">
      <c r="A143">
        <v>142</v>
      </c>
      <c r="B143" s="1">
        <v>40550</v>
      </c>
      <c r="C143">
        <v>1</v>
      </c>
      <c r="D143" t="str">
        <f>TEXT(mergedcleandataset[[#This Row],[dteday]],"yyyy")</f>
        <v>2011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s="2">
        <f>DATE(mergedcleandataset[[#This Row],[yr]],mergedcleandataset[[#This Row],[mnth]],mergedcleandataset[[#This Row],[day]])</f>
        <v>40550</v>
      </c>
      <c r="R143">
        <f>DAY(mergedcleandataset[[#This Row],[dteday]])</f>
        <v>7</v>
      </c>
      <c r="S143" t="str">
        <f>IF(mergedcleandataset[[#This Row],[weekday]]&gt;=5,"Yes","No")</f>
        <v>Yes</v>
      </c>
      <c r="T143" t="b">
        <f>ISBLANK(mergedcleandataset[[#This Row],[atemp]])</f>
        <v>0</v>
      </c>
      <c r="U143" t="str">
        <f t="shared" si="2"/>
        <v>Spring</v>
      </c>
      <c r="V143" t="str">
        <f>TEXT(mergedcleandataset[[#This Row],[date]],"dddd")</f>
        <v>Friday</v>
      </c>
      <c r="W14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44" spans="1:23" x14ac:dyDescent="0.25">
      <c r="A144">
        <v>143</v>
      </c>
      <c r="B144" s="1">
        <v>40550</v>
      </c>
      <c r="C144">
        <v>1</v>
      </c>
      <c r="D144" t="str">
        <f>TEXT(mergedcleandataset[[#This Row],[dteday]],"yyyy")</f>
        <v>2011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s="2">
        <f>DATE(mergedcleandataset[[#This Row],[yr]],mergedcleandataset[[#This Row],[mnth]],mergedcleandataset[[#This Row],[day]])</f>
        <v>40550</v>
      </c>
      <c r="R144">
        <f>DAY(mergedcleandataset[[#This Row],[dteday]])</f>
        <v>7</v>
      </c>
      <c r="S144" t="str">
        <f>IF(mergedcleandataset[[#This Row],[weekday]]&gt;=5,"Yes","No")</f>
        <v>Yes</v>
      </c>
      <c r="T144" t="b">
        <f>ISBLANK(mergedcleandataset[[#This Row],[atemp]])</f>
        <v>0</v>
      </c>
      <c r="U144" t="str">
        <f t="shared" si="2"/>
        <v>Spring</v>
      </c>
      <c r="V144" t="str">
        <f>TEXT(mergedcleandataset[[#This Row],[date]],"dddd")</f>
        <v>Friday</v>
      </c>
      <c r="W14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145" spans="1:23" x14ac:dyDescent="0.25">
      <c r="A145">
        <v>144</v>
      </c>
      <c r="B145" s="1">
        <v>40550</v>
      </c>
      <c r="C145">
        <v>1</v>
      </c>
      <c r="D145" t="str">
        <f>TEXT(mergedcleandataset[[#This Row],[dteday]],"yyyy")</f>
        <v>2011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s="2">
        <f>DATE(mergedcleandataset[[#This Row],[yr]],mergedcleandataset[[#This Row],[mnth]],mergedcleandataset[[#This Row],[day]])</f>
        <v>40550</v>
      </c>
      <c r="R145">
        <f>DAY(mergedcleandataset[[#This Row],[dteday]])</f>
        <v>7</v>
      </c>
      <c r="S145" t="str">
        <f>IF(mergedcleandataset[[#This Row],[weekday]]&gt;=5,"Yes","No")</f>
        <v>Yes</v>
      </c>
      <c r="T145" t="b">
        <f>ISBLANK(mergedcleandataset[[#This Row],[atemp]])</f>
        <v>0</v>
      </c>
      <c r="U145" t="str">
        <f t="shared" si="2"/>
        <v>Spring</v>
      </c>
      <c r="V145" t="str">
        <f>TEXT(mergedcleandataset[[#This Row],[date]],"dddd")</f>
        <v>Friday</v>
      </c>
      <c r="W14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46" spans="1:23" x14ac:dyDescent="0.25">
      <c r="A146">
        <v>145</v>
      </c>
      <c r="B146" s="1">
        <v>40550</v>
      </c>
      <c r="C146">
        <v>1</v>
      </c>
      <c r="D146" t="str">
        <f>TEXT(mergedcleandataset[[#This Row],[dteday]],"yyyy")</f>
        <v>2011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s="2">
        <f>DATE(mergedcleandataset[[#This Row],[yr]],mergedcleandataset[[#This Row],[mnth]],mergedcleandataset[[#This Row],[day]])</f>
        <v>40550</v>
      </c>
      <c r="R146">
        <f>DAY(mergedcleandataset[[#This Row],[dteday]])</f>
        <v>7</v>
      </c>
      <c r="S146" t="str">
        <f>IF(mergedcleandataset[[#This Row],[weekday]]&gt;=5,"Yes","No")</f>
        <v>Yes</v>
      </c>
      <c r="T146" t="b">
        <f>ISBLANK(mergedcleandataset[[#This Row],[atemp]])</f>
        <v>0</v>
      </c>
      <c r="U146" t="str">
        <f t="shared" si="2"/>
        <v>Spring</v>
      </c>
      <c r="V146" t="str">
        <f>TEXT(mergedcleandataset[[#This Row],[date]],"dddd")</f>
        <v>Friday</v>
      </c>
      <c r="W14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47" spans="1:23" x14ac:dyDescent="0.25">
      <c r="A147">
        <v>146</v>
      </c>
      <c r="B147" s="1">
        <v>40550</v>
      </c>
      <c r="C147">
        <v>1</v>
      </c>
      <c r="D147" t="str">
        <f>TEXT(mergedcleandataset[[#This Row],[dteday]],"yyyy")</f>
        <v>2011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s="2">
        <f>DATE(mergedcleandataset[[#This Row],[yr]],mergedcleandataset[[#This Row],[mnth]],mergedcleandataset[[#This Row],[day]])</f>
        <v>40550</v>
      </c>
      <c r="R147">
        <f>DAY(mergedcleandataset[[#This Row],[dteday]])</f>
        <v>7</v>
      </c>
      <c r="S147" t="str">
        <f>IF(mergedcleandataset[[#This Row],[weekday]]&gt;=5,"Yes","No")</f>
        <v>Yes</v>
      </c>
      <c r="T147" t="b">
        <f>ISBLANK(mergedcleandataset[[#This Row],[atemp]])</f>
        <v>0</v>
      </c>
      <c r="U147" t="str">
        <f t="shared" si="2"/>
        <v>Spring</v>
      </c>
      <c r="V147" t="str">
        <f>TEXT(mergedcleandataset[[#This Row],[date]],"dddd")</f>
        <v>Friday</v>
      </c>
      <c r="W14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48" spans="1:23" x14ac:dyDescent="0.25">
      <c r="A148">
        <v>147</v>
      </c>
      <c r="B148" s="1">
        <v>40550</v>
      </c>
      <c r="C148">
        <v>1</v>
      </c>
      <c r="D148" t="str">
        <f>TEXT(mergedcleandataset[[#This Row],[dteday]],"yyyy")</f>
        <v>2011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s="2">
        <f>DATE(mergedcleandataset[[#This Row],[yr]],mergedcleandataset[[#This Row],[mnth]],mergedcleandataset[[#This Row],[day]])</f>
        <v>40550</v>
      </c>
      <c r="R148">
        <f>DAY(mergedcleandataset[[#This Row],[dteday]])</f>
        <v>7</v>
      </c>
      <c r="S148" t="str">
        <f>IF(mergedcleandataset[[#This Row],[weekday]]&gt;=5,"Yes","No")</f>
        <v>Yes</v>
      </c>
      <c r="T148" t="b">
        <f>ISBLANK(mergedcleandataset[[#This Row],[atemp]])</f>
        <v>0</v>
      </c>
      <c r="U148" t="str">
        <f t="shared" si="2"/>
        <v>Spring</v>
      </c>
      <c r="V148" t="str">
        <f>TEXT(mergedcleandataset[[#This Row],[date]],"dddd")</f>
        <v>Friday</v>
      </c>
      <c r="W14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49" spans="1:23" x14ac:dyDescent="0.25">
      <c r="A149">
        <v>148</v>
      </c>
      <c r="B149" s="1">
        <v>40550</v>
      </c>
      <c r="C149">
        <v>1</v>
      </c>
      <c r="D149" t="str">
        <f>TEXT(mergedcleandataset[[#This Row],[dteday]],"yyyy")</f>
        <v>2011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s="2">
        <f>DATE(mergedcleandataset[[#This Row],[yr]],mergedcleandataset[[#This Row],[mnth]],mergedcleandataset[[#This Row],[day]])</f>
        <v>40550</v>
      </c>
      <c r="R149">
        <f>DAY(mergedcleandataset[[#This Row],[dteday]])</f>
        <v>7</v>
      </c>
      <c r="S149" t="str">
        <f>IF(mergedcleandataset[[#This Row],[weekday]]&gt;=5,"Yes","No")</f>
        <v>Yes</v>
      </c>
      <c r="T149" t="b">
        <f>ISBLANK(mergedcleandataset[[#This Row],[atemp]])</f>
        <v>0</v>
      </c>
      <c r="U149" t="str">
        <f t="shared" si="2"/>
        <v>Spring</v>
      </c>
      <c r="V149" t="str">
        <f>TEXT(mergedcleandataset[[#This Row],[date]],"dddd")</f>
        <v>Friday</v>
      </c>
      <c r="W14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50" spans="1:23" x14ac:dyDescent="0.25">
      <c r="A150">
        <v>149</v>
      </c>
      <c r="B150" s="1">
        <v>40550</v>
      </c>
      <c r="C150">
        <v>1</v>
      </c>
      <c r="D150" t="str">
        <f>TEXT(mergedcleandataset[[#This Row],[dteday]],"yyyy")</f>
        <v>2011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s="2">
        <f>DATE(mergedcleandataset[[#This Row],[yr]],mergedcleandataset[[#This Row],[mnth]],mergedcleandataset[[#This Row],[day]])</f>
        <v>40550</v>
      </c>
      <c r="R150">
        <f>DAY(mergedcleandataset[[#This Row],[dteday]])</f>
        <v>7</v>
      </c>
      <c r="S150" t="str">
        <f>IF(mergedcleandataset[[#This Row],[weekday]]&gt;=5,"Yes","No")</f>
        <v>Yes</v>
      </c>
      <c r="T150" t="b">
        <f>ISBLANK(mergedcleandataset[[#This Row],[atemp]])</f>
        <v>0</v>
      </c>
      <c r="U150" t="str">
        <f t="shared" si="2"/>
        <v>Spring</v>
      </c>
      <c r="V150" t="str">
        <f>TEXT(mergedcleandataset[[#This Row],[date]],"dddd")</f>
        <v>Friday</v>
      </c>
      <c r="W15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1" spans="1:23" x14ac:dyDescent="0.25">
      <c r="A151">
        <v>150</v>
      </c>
      <c r="B151" s="1">
        <v>40550</v>
      </c>
      <c r="C151">
        <v>1</v>
      </c>
      <c r="D151" t="str">
        <f>TEXT(mergedcleandataset[[#This Row],[dteday]],"yyyy")</f>
        <v>2011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s="2">
        <f>DATE(mergedcleandataset[[#This Row],[yr]],mergedcleandataset[[#This Row],[mnth]],mergedcleandataset[[#This Row],[day]])</f>
        <v>40550</v>
      </c>
      <c r="R151">
        <f>DAY(mergedcleandataset[[#This Row],[dteday]])</f>
        <v>7</v>
      </c>
      <c r="S151" t="str">
        <f>IF(mergedcleandataset[[#This Row],[weekday]]&gt;=5,"Yes","No")</f>
        <v>Yes</v>
      </c>
      <c r="T151" t="b">
        <f>ISBLANK(mergedcleandataset[[#This Row],[atemp]])</f>
        <v>0</v>
      </c>
      <c r="U151" t="str">
        <f t="shared" si="2"/>
        <v>Spring</v>
      </c>
      <c r="V151" t="str">
        <f>TEXT(mergedcleandataset[[#This Row],[date]],"dddd")</f>
        <v>Friday</v>
      </c>
      <c r="W15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2" spans="1:23" x14ac:dyDescent="0.25">
      <c r="A152">
        <v>151</v>
      </c>
      <c r="B152" s="1">
        <v>40550</v>
      </c>
      <c r="C152">
        <v>1</v>
      </c>
      <c r="D152" t="str">
        <f>TEXT(mergedcleandataset[[#This Row],[dteday]],"yyyy")</f>
        <v>2011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s="2">
        <f>DATE(mergedcleandataset[[#This Row],[yr]],mergedcleandataset[[#This Row],[mnth]],mergedcleandataset[[#This Row],[day]])</f>
        <v>40550</v>
      </c>
      <c r="R152">
        <f>DAY(mergedcleandataset[[#This Row],[dteday]])</f>
        <v>7</v>
      </c>
      <c r="S152" t="str">
        <f>IF(mergedcleandataset[[#This Row],[weekday]]&gt;=5,"Yes","No")</f>
        <v>Yes</v>
      </c>
      <c r="T152" t="b">
        <f>ISBLANK(mergedcleandataset[[#This Row],[atemp]])</f>
        <v>0</v>
      </c>
      <c r="U152" t="str">
        <f t="shared" si="2"/>
        <v>Spring</v>
      </c>
      <c r="V152" t="str">
        <f>TEXT(mergedcleandataset[[#This Row],[date]],"dddd")</f>
        <v>Friday</v>
      </c>
      <c r="W15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3" spans="1:23" x14ac:dyDescent="0.25">
      <c r="A153">
        <v>152</v>
      </c>
      <c r="B153" s="1">
        <v>40550</v>
      </c>
      <c r="C153">
        <v>1</v>
      </c>
      <c r="D153" t="str">
        <f>TEXT(mergedcleandataset[[#This Row],[dteday]],"yyyy")</f>
        <v>2011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s="2">
        <f>DATE(mergedcleandataset[[#This Row],[yr]],mergedcleandataset[[#This Row],[mnth]],mergedcleandataset[[#This Row],[day]])</f>
        <v>40550</v>
      </c>
      <c r="R153">
        <f>DAY(mergedcleandataset[[#This Row],[dteday]])</f>
        <v>7</v>
      </c>
      <c r="S153" t="str">
        <f>IF(mergedcleandataset[[#This Row],[weekday]]&gt;=5,"Yes","No")</f>
        <v>Yes</v>
      </c>
      <c r="T153" t="b">
        <f>ISBLANK(mergedcleandataset[[#This Row],[atemp]])</f>
        <v>0</v>
      </c>
      <c r="U153" t="str">
        <f t="shared" si="2"/>
        <v>Spring</v>
      </c>
      <c r="V153" t="str">
        <f>TEXT(mergedcleandataset[[#This Row],[date]],"dddd")</f>
        <v>Friday</v>
      </c>
      <c r="W15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4" spans="1:23" x14ac:dyDescent="0.25">
      <c r="A154">
        <v>153</v>
      </c>
      <c r="B154" s="1">
        <v>40550</v>
      </c>
      <c r="C154">
        <v>1</v>
      </c>
      <c r="D154" t="str">
        <f>TEXT(mergedcleandataset[[#This Row],[dteday]],"yyyy")</f>
        <v>2011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s="2">
        <f>DATE(mergedcleandataset[[#This Row],[yr]],mergedcleandataset[[#This Row],[mnth]],mergedcleandataset[[#This Row],[day]])</f>
        <v>40550</v>
      </c>
      <c r="R154">
        <f>DAY(mergedcleandataset[[#This Row],[dteday]])</f>
        <v>7</v>
      </c>
      <c r="S154" t="str">
        <f>IF(mergedcleandataset[[#This Row],[weekday]]&gt;=5,"Yes","No")</f>
        <v>Yes</v>
      </c>
      <c r="T154" t="b">
        <f>ISBLANK(mergedcleandataset[[#This Row],[atemp]])</f>
        <v>0</v>
      </c>
      <c r="U154" t="str">
        <f t="shared" si="2"/>
        <v>Spring</v>
      </c>
      <c r="V154" t="str">
        <f>TEXT(mergedcleandataset[[#This Row],[date]],"dddd")</f>
        <v>Friday</v>
      </c>
      <c r="W15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5" spans="1:23" x14ac:dyDescent="0.25">
      <c r="A155">
        <v>154</v>
      </c>
      <c r="B155" s="1">
        <v>40550</v>
      </c>
      <c r="C155">
        <v>1</v>
      </c>
      <c r="D155" t="str">
        <f>TEXT(mergedcleandataset[[#This Row],[dteday]],"yyyy")</f>
        <v>2011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s="2">
        <f>DATE(mergedcleandataset[[#This Row],[yr]],mergedcleandataset[[#This Row],[mnth]],mergedcleandataset[[#This Row],[day]])</f>
        <v>40550</v>
      </c>
      <c r="R155">
        <f>DAY(mergedcleandataset[[#This Row],[dteday]])</f>
        <v>7</v>
      </c>
      <c r="S155" t="str">
        <f>IF(mergedcleandataset[[#This Row],[weekday]]&gt;=5,"Yes","No")</f>
        <v>Yes</v>
      </c>
      <c r="T155" t="b">
        <f>ISBLANK(mergedcleandataset[[#This Row],[atemp]])</f>
        <v>0</v>
      </c>
      <c r="U155" t="str">
        <f t="shared" si="2"/>
        <v>Spring</v>
      </c>
      <c r="V155" t="str">
        <f>TEXT(mergedcleandataset[[#This Row],[date]],"dddd")</f>
        <v>Friday</v>
      </c>
      <c r="W15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6" spans="1:23" x14ac:dyDescent="0.25">
      <c r="A156">
        <v>155</v>
      </c>
      <c r="B156" s="1">
        <v>40550</v>
      </c>
      <c r="C156">
        <v>1</v>
      </c>
      <c r="D156" t="str">
        <f>TEXT(mergedcleandataset[[#This Row],[dteday]],"yyyy")</f>
        <v>2011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s="2">
        <f>DATE(mergedcleandataset[[#This Row],[yr]],mergedcleandataset[[#This Row],[mnth]],mergedcleandataset[[#This Row],[day]])</f>
        <v>40550</v>
      </c>
      <c r="R156">
        <f>DAY(mergedcleandataset[[#This Row],[dteday]])</f>
        <v>7</v>
      </c>
      <c r="S156" t="str">
        <f>IF(mergedcleandataset[[#This Row],[weekday]]&gt;=5,"Yes","No")</f>
        <v>Yes</v>
      </c>
      <c r="T156" t="b">
        <f>ISBLANK(mergedcleandataset[[#This Row],[atemp]])</f>
        <v>0</v>
      </c>
      <c r="U156" t="str">
        <f t="shared" si="2"/>
        <v>Spring</v>
      </c>
      <c r="V156" t="str">
        <f>TEXT(mergedcleandataset[[#This Row],[date]],"dddd")</f>
        <v>Friday</v>
      </c>
      <c r="W15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57" spans="1:23" x14ac:dyDescent="0.25">
      <c r="A157">
        <v>156</v>
      </c>
      <c r="B157" s="1">
        <v>40550</v>
      </c>
      <c r="C157">
        <v>1</v>
      </c>
      <c r="D157" t="str">
        <f>TEXT(mergedcleandataset[[#This Row],[dteday]],"yyyy")</f>
        <v>2011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s="2">
        <f>DATE(mergedcleandataset[[#This Row],[yr]],mergedcleandataset[[#This Row],[mnth]],mergedcleandataset[[#This Row],[day]])</f>
        <v>40550</v>
      </c>
      <c r="R157">
        <f>DAY(mergedcleandataset[[#This Row],[dteday]])</f>
        <v>7</v>
      </c>
      <c r="S157" t="str">
        <f>IF(mergedcleandataset[[#This Row],[weekday]]&gt;=5,"Yes","No")</f>
        <v>Yes</v>
      </c>
      <c r="T157" t="b">
        <f>ISBLANK(mergedcleandataset[[#This Row],[atemp]])</f>
        <v>0</v>
      </c>
      <c r="U157" t="str">
        <f t="shared" si="2"/>
        <v>Spring</v>
      </c>
      <c r="V157" t="str">
        <f>TEXT(mergedcleandataset[[#This Row],[date]],"dddd")</f>
        <v>Friday</v>
      </c>
      <c r="W15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58" spans="1:23" x14ac:dyDescent="0.25">
      <c r="A158">
        <v>157</v>
      </c>
      <c r="B158" s="1">
        <v>40550</v>
      </c>
      <c r="C158">
        <v>1</v>
      </c>
      <c r="D158" t="str">
        <f>TEXT(mergedcleandataset[[#This Row],[dteday]],"yyyy")</f>
        <v>2011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s="2">
        <f>DATE(mergedcleandataset[[#This Row],[yr]],mergedcleandataset[[#This Row],[mnth]],mergedcleandataset[[#This Row],[day]])</f>
        <v>40550</v>
      </c>
      <c r="R158">
        <f>DAY(mergedcleandataset[[#This Row],[dteday]])</f>
        <v>7</v>
      </c>
      <c r="S158" t="str">
        <f>IF(mergedcleandataset[[#This Row],[weekday]]&gt;=5,"Yes","No")</f>
        <v>Yes</v>
      </c>
      <c r="T158" t="b">
        <f>ISBLANK(mergedcleandataset[[#This Row],[atemp]])</f>
        <v>0</v>
      </c>
      <c r="U158" t="str">
        <f t="shared" si="2"/>
        <v>Spring</v>
      </c>
      <c r="V158" t="str">
        <f>TEXT(mergedcleandataset[[#This Row],[date]],"dddd")</f>
        <v>Friday</v>
      </c>
      <c r="W1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59" spans="1:23" x14ac:dyDescent="0.25">
      <c r="A159">
        <v>158</v>
      </c>
      <c r="B159" s="1">
        <v>40550</v>
      </c>
      <c r="C159">
        <v>1</v>
      </c>
      <c r="D159" t="str">
        <f>TEXT(mergedcleandataset[[#This Row],[dteday]],"yyyy")</f>
        <v>2011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s="2">
        <f>DATE(mergedcleandataset[[#This Row],[yr]],mergedcleandataset[[#This Row],[mnth]],mergedcleandataset[[#This Row],[day]])</f>
        <v>40550</v>
      </c>
      <c r="R159">
        <f>DAY(mergedcleandataset[[#This Row],[dteday]])</f>
        <v>7</v>
      </c>
      <c r="S159" t="str">
        <f>IF(mergedcleandataset[[#This Row],[weekday]]&gt;=5,"Yes","No")</f>
        <v>Yes</v>
      </c>
      <c r="T159" t="b">
        <f>ISBLANK(mergedcleandataset[[#This Row],[atemp]])</f>
        <v>0</v>
      </c>
      <c r="U159" t="str">
        <f t="shared" si="2"/>
        <v>Spring</v>
      </c>
      <c r="V159" t="str">
        <f>TEXT(mergedcleandataset[[#This Row],[date]],"dddd")</f>
        <v>Friday</v>
      </c>
      <c r="W15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60" spans="1:23" x14ac:dyDescent="0.25">
      <c r="A160">
        <v>159</v>
      </c>
      <c r="B160" s="1">
        <v>40550</v>
      </c>
      <c r="C160">
        <v>1</v>
      </c>
      <c r="D160" t="str">
        <f>TEXT(mergedcleandataset[[#This Row],[dteday]],"yyyy")</f>
        <v>2011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s="2">
        <f>DATE(mergedcleandataset[[#This Row],[yr]],mergedcleandataset[[#This Row],[mnth]],mergedcleandataset[[#This Row],[day]])</f>
        <v>40550</v>
      </c>
      <c r="R160">
        <f>DAY(mergedcleandataset[[#This Row],[dteday]])</f>
        <v>7</v>
      </c>
      <c r="S160" t="str">
        <f>IF(mergedcleandataset[[#This Row],[weekday]]&gt;=5,"Yes","No")</f>
        <v>Yes</v>
      </c>
      <c r="T160" t="b">
        <f>ISBLANK(mergedcleandataset[[#This Row],[atemp]])</f>
        <v>0</v>
      </c>
      <c r="U160" t="str">
        <f t="shared" si="2"/>
        <v>Spring</v>
      </c>
      <c r="V160" t="str">
        <f>TEXT(mergedcleandataset[[#This Row],[date]],"dddd")</f>
        <v>Friday</v>
      </c>
      <c r="W1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61" spans="1:23" x14ac:dyDescent="0.25">
      <c r="A161">
        <v>160</v>
      </c>
      <c r="B161" s="1">
        <v>40550</v>
      </c>
      <c r="C161">
        <v>1</v>
      </c>
      <c r="D161" t="str">
        <f>TEXT(mergedcleandataset[[#This Row],[dteday]],"yyyy")</f>
        <v>2011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s="2">
        <f>DATE(mergedcleandataset[[#This Row],[yr]],mergedcleandataset[[#This Row],[mnth]],mergedcleandataset[[#This Row],[day]])</f>
        <v>40550</v>
      </c>
      <c r="R161">
        <f>DAY(mergedcleandataset[[#This Row],[dteday]])</f>
        <v>7</v>
      </c>
      <c r="S161" t="str">
        <f>IF(mergedcleandataset[[#This Row],[weekday]]&gt;=5,"Yes","No")</f>
        <v>Yes</v>
      </c>
      <c r="T161" t="b">
        <f>ISBLANK(mergedcleandataset[[#This Row],[atemp]])</f>
        <v>0</v>
      </c>
      <c r="U161" t="str">
        <f t="shared" si="2"/>
        <v>Spring</v>
      </c>
      <c r="V161" t="str">
        <f>TEXT(mergedcleandataset[[#This Row],[date]],"dddd")</f>
        <v>Friday</v>
      </c>
      <c r="W16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2" spans="1:23" x14ac:dyDescent="0.25">
      <c r="A162">
        <v>161</v>
      </c>
      <c r="B162" s="1">
        <v>40550</v>
      </c>
      <c r="C162">
        <v>1</v>
      </c>
      <c r="D162" t="str">
        <f>TEXT(mergedcleandataset[[#This Row],[dteday]],"yyyy")</f>
        <v>2011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s="2">
        <f>DATE(mergedcleandataset[[#This Row],[yr]],mergedcleandataset[[#This Row],[mnth]],mergedcleandataset[[#This Row],[day]])</f>
        <v>40550</v>
      </c>
      <c r="R162">
        <f>DAY(mergedcleandataset[[#This Row],[dteday]])</f>
        <v>7</v>
      </c>
      <c r="S162" t="str">
        <f>IF(mergedcleandataset[[#This Row],[weekday]]&gt;=5,"Yes","No")</f>
        <v>Yes</v>
      </c>
      <c r="T162" t="b">
        <f>ISBLANK(mergedcleandataset[[#This Row],[atemp]])</f>
        <v>0</v>
      </c>
      <c r="U162" t="str">
        <f t="shared" si="2"/>
        <v>Spring</v>
      </c>
      <c r="V162" t="str">
        <f>TEXT(mergedcleandataset[[#This Row],[date]],"dddd")</f>
        <v>Friday</v>
      </c>
      <c r="W16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3" spans="1:23" x14ac:dyDescent="0.25">
      <c r="A163">
        <v>162</v>
      </c>
      <c r="B163" s="1">
        <v>40551</v>
      </c>
      <c r="C163">
        <v>1</v>
      </c>
      <c r="D163" t="str">
        <f>TEXT(mergedcleandataset[[#This Row],[dteday]],"yyyy")</f>
        <v>2011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s="2">
        <f>DATE(mergedcleandataset[[#This Row],[yr]],mergedcleandataset[[#This Row],[mnth]],mergedcleandataset[[#This Row],[day]])</f>
        <v>40551</v>
      </c>
      <c r="R163">
        <f>DAY(mergedcleandataset[[#This Row],[dteday]])</f>
        <v>8</v>
      </c>
      <c r="S163" t="str">
        <f>IF(mergedcleandataset[[#This Row],[weekday]]&gt;=5,"Yes","No")</f>
        <v>Yes</v>
      </c>
      <c r="T163" t="b">
        <f>ISBLANK(mergedcleandataset[[#This Row],[atemp]])</f>
        <v>0</v>
      </c>
      <c r="U163" t="str">
        <f t="shared" si="2"/>
        <v>Spring</v>
      </c>
      <c r="V163" t="str">
        <f>TEXT(mergedcleandataset[[#This Row],[date]],"dddd")</f>
        <v>Saturday</v>
      </c>
      <c r="W16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4" spans="1:23" x14ac:dyDescent="0.25">
      <c r="A164">
        <v>163</v>
      </c>
      <c r="B164" s="1">
        <v>40551</v>
      </c>
      <c r="C164">
        <v>1</v>
      </c>
      <c r="D164" t="str">
        <f>TEXT(mergedcleandataset[[#This Row],[dteday]],"yyyy")</f>
        <v>2011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s="2">
        <f>DATE(mergedcleandataset[[#This Row],[yr]],mergedcleandataset[[#This Row],[mnth]],mergedcleandataset[[#This Row],[day]])</f>
        <v>40551</v>
      </c>
      <c r="R164">
        <f>DAY(mergedcleandataset[[#This Row],[dteday]])</f>
        <v>8</v>
      </c>
      <c r="S164" t="str">
        <f>IF(mergedcleandataset[[#This Row],[weekday]]&gt;=5,"Yes","No")</f>
        <v>Yes</v>
      </c>
      <c r="T164" t="b">
        <f>ISBLANK(mergedcleandataset[[#This Row],[atemp]])</f>
        <v>0</v>
      </c>
      <c r="U164" t="str">
        <f t="shared" si="2"/>
        <v>Spring</v>
      </c>
      <c r="V164" t="str">
        <f>TEXT(mergedcleandataset[[#This Row],[date]],"dddd")</f>
        <v>Saturday</v>
      </c>
      <c r="W16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5" spans="1:23" x14ac:dyDescent="0.25">
      <c r="A165">
        <v>164</v>
      </c>
      <c r="B165" s="1">
        <v>40551</v>
      </c>
      <c r="C165">
        <v>1</v>
      </c>
      <c r="D165" t="str">
        <f>TEXT(mergedcleandataset[[#This Row],[dteday]],"yyyy")</f>
        <v>2011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s="2">
        <f>DATE(mergedcleandataset[[#This Row],[yr]],mergedcleandataset[[#This Row],[mnth]],mergedcleandataset[[#This Row],[day]])</f>
        <v>40551</v>
      </c>
      <c r="R165">
        <f>DAY(mergedcleandataset[[#This Row],[dteday]])</f>
        <v>8</v>
      </c>
      <c r="S165" t="str">
        <f>IF(mergedcleandataset[[#This Row],[weekday]]&gt;=5,"Yes","No")</f>
        <v>Yes</v>
      </c>
      <c r="T165" t="b">
        <f>ISBLANK(mergedcleandataset[[#This Row],[atemp]])</f>
        <v>0</v>
      </c>
      <c r="U165" t="str">
        <f t="shared" si="2"/>
        <v>Spring</v>
      </c>
      <c r="V165" t="str">
        <f>TEXT(mergedcleandataset[[#This Row],[date]],"dddd")</f>
        <v>Saturday</v>
      </c>
      <c r="W16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6" spans="1:23" x14ac:dyDescent="0.25">
      <c r="A166">
        <v>165</v>
      </c>
      <c r="B166" s="1">
        <v>40551</v>
      </c>
      <c r="C166">
        <v>1</v>
      </c>
      <c r="D166" t="str">
        <f>TEXT(mergedcleandataset[[#This Row],[dteday]],"yyyy")</f>
        <v>2011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s="2">
        <f>DATE(mergedcleandataset[[#This Row],[yr]],mergedcleandataset[[#This Row],[mnth]],mergedcleandataset[[#This Row],[day]])</f>
        <v>40551</v>
      </c>
      <c r="R166">
        <f>DAY(mergedcleandataset[[#This Row],[dteday]])</f>
        <v>8</v>
      </c>
      <c r="S166" t="str">
        <f>IF(mergedcleandataset[[#This Row],[weekday]]&gt;=5,"Yes","No")</f>
        <v>Yes</v>
      </c>
      <c r="T166" t="b">
        <f>ISBLANK(mergedcleandataset[[#This Row],[atemp]])</f>
        <v>0</v>
      </c>
      <c r="U166" t="str">
        <f t="shared" si="2"/>
        <v>Spring</v>
      </c>
      <c r="V166" t="str">
        <f>TEXT(mergedcleandataset[[#This Row],[date]],"dddd")</f>
        <v>Saturday</v>
      </c>
      <c r="W16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167" spans="1:23" x14ac:dyDescent="0.25">
      <c r="A167">
        <v>166</v>
      </c>
      <c r="B167" s="1">
        <v>40551</v>
      </c>
      <c r="C167">
        <v>1</v>
      </c>
      <c r="D167" t="str">
        <f>TEXT(mergedcleandataset[[#This Row],[dteday]],"yyyy")</f>
        <v>2011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s="2">
        <f>DATE(mergedcleandataset[[#This Row],[yr]],mergedcleandataset[[#This Row],[mnth]],mergedcleandataset[[#This Row],[day]])</f>
        <v>40551</v>
      </c>
      <c r="R167">
        <f>DAY(mergedcleandataset[[#This Row],[dteday]])</f>
        <v>8</v>
      </c>
      <c r="S167" t="str">
        <f>IF(mergedcleandataset[[#This Row],[weekday]]&gt;=5,"Yes","No")</f>
        <v>Yes</v>
      </c>
      <c r="T167" t="b">
        <f>ISBLANK(mergedcleandataset[[#This Row],[atemp]])</f>
        <v>0</v>
      </c>
      <c r="U167" t="str">
        <f t="shared" si="2"/>
        <v>Spring</v>
      </c>
      <c r="V167" t="str">
        <f>TEXT(mergedcleandataset[[#This Row],[date]],"dddd")</f>
        <v>Saturday</v>
      </c>
      <c r="W16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168" spans="1:23" x14ac:dyDescent="0.25">
      <c r="A168">
        <v>167</v>
      </c>
      <c r="B168" s="1">
        <v>40551</v>
      </c>
      <c r="C168">
        <v>1</v>
      </c>
      <c r="D168" t="str">
        <f>TEXT(mergedcleandataset[[#This Row],[dteday]],"yyyy")</f>
        <v>2011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s="2">
        <f>DATE(mergedcleandataset[[#This Row],[yr]],mergedcleandataset[[#This Row],[mnth]],mergedcleandataset[[#This Row],[day]])</f>
        <v>40551</v>
      </c>
      <c r="R168">
        <f>DAY(mergedcleandataset[[#This Row],[dteday]])</f>
        <v>8</v>
      </c>
      <c r="S168" t="str">
        <f>IF(mergedcleandataset[[#This Row],[weekday]]&gt;=5,"Yes","No")</f>
        <v>Yes</v>
      </c>
      <c r="T168" t="b">
        <f>ISBLANK(mergedcleandataset[[#This Row],[atemp]])</f>
        <v>0</v>
      </c>
      <c r="U168" t="str">
        <f t="shared" si="2"/>
        <v>Spring</v>
      </c>
      <c r="V168" t="str">
        <f>TEXT(mergedcleandataset[[#This Row],[date]],"dddd")</f>
        <v>Saturday</v>
      </c>
      <c r="W16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69" spans="1:23" x14ac:dyDescent="0.25">
      <c r="A169">
        <v>168</v>
      </c>
      <c r="B169" s="1">
        <v>40551</v>
      </c>
      <c r="C169">
        <v>1</v>
      </c>
      <c r="D169" t="str">
        <f>TEXT(mergedcleandataset[[#This Row],[dteday]],"yyyy")</f>
        <v>2011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s="2">
        <f>DATE(mergedcleandataset[[#This Row],[yr]],mergedcleandataset[[#This Row],[mnth]],mergedcleandataset[[#This Row],[day]])</f>
        <v>40551</v>
      </c>
      <c r="R169">
        <f>DAY(mergedcleandataset[[#This Row],[dteday]])</f>
        <v>8</v>
      </c>
      <c r="S169" t="str">
        <f>IF(mergedcleandataset[[#This Row],[weekday]]&gt;=5,"Yes","No")</f>
        <v>Yes</v>
      </c>
      <c r="T169" t="b">
        <f>ISBLANK(mergedcleandataset[[#This Row],[atemp]])</f>
        <v>0</v>
      </c>
      <c r="U169" t="str">
        <f t="shared" si="2"/>
        <v>Spring</v>
      </c>
      <c r="V169" t="str">
        <f>TEXT(mergedcleandataset[[#This Row],[date]],"dddd")</f>
        <v>Saturday</v>
      </c>
      <c r="W16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70" spans="1:23" x14ac:dyDescent="0.25">
      <c r="A170">
        <v>169</v>
      </c>
      <c r="B170" s="1">
        <v>40551</v>
      </c>
      <c r="C170">
        <v>1</v>
      </c>
      <c r="D170" t="str">
        <f>TEXT(mergedcleandataset[[#This Row],[dteday]],"yyyy")</f>
        <v>2011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s="2">
        <f>DATE(mergedcleandataset[[#This Row],[yr]],mergedcleandataset[[#This Row],[mnth]],mergedcleandataset[[#This Row],[day]])</f>
        <v>40551</v>
      </c>
      <c r="R170">
        <f>DAY(mergedcleandataset[[#This Row],[dteday]])</f>
        <v>8</v>
      </c>
      <c r="S170" t="str">
        <f>IF(mergedcleandataset[[#This Row],[weekday]]&gt;=5,"Yes","No")</f>
        <v>Yes</v>
      </c>
      <c r="T170" t="b">
        <f>ISBLANK(mergedcleandataset[[#This Row],[atemp]])</f>
        <v>0</v>
      </c>
      <c r="U170" t="str">
        <f t="shared" si="2"/>
        <v>Spring</v>
      </c>
      <c r="V170" t="str">
        <f>TEXT(mergedcleandataset[[#This Row],[date]],"dddd")</f>
        <v>Saturday</v>
      </c>
      <c r="W17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71" spans="1:23" x14ac:dyDescent="0.25">
      <c r="A171">
        <v>170</v>
      </c>
      <c r="B171" s="1">
        <v>40551</v>
      </c>
      <c r="C171">
        <v>1</v>
      </c>
      <c r="D171" t="str">
        <f>TEXT(mergedcleandataset[[#This Row],[dteday]],"yyyy")</f>
        <v>2011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s="2">
        <f>DATE(mergedcleandataset[[#This Row],[yr]],mergedcleandataset[[#This Row],[mnth]],mergedcleandataset[[#This Row],[day]])</f>
        <v>40551</v>
      </c>
      <c r="R171">
        <f>DAY(mergedcleandataset[[#This Row],[dteday]])</f>
        <v>8</v>
      </c>
      <c r="S171" t="str">
        <f>IF(mergedcleandataset[[#This Row],[weekday]]&gt;=5,"Yes","No")</f>
        <v>Yes</v>
      </c>
      <c r="T171" t="b">
        <f>ISBLANK(mergedcleandataset[[#This Row],[atemp]])</f>
        <v>0</v>
      </c>
      <c r="U171" t="str">
        <f t="shared" si="2"/>
        <v>Spring</v>
      </c>
      <c r="V171" t="str">
        <f>TEXT(mergedcleandataset[[#This Row],[date]],"dddd")</f>
        <v>Saturday</v>
      </c>
      <c r="W17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172" spans="1:23" x14ac:dyDescent="0.25">
      <c r="A172">
        <v>171</v>
      </c>
      <c r="B172" s="1">
        <v>40551</v>
      </c>
      <c r="C172">
        <v>1</v>
      </c>
      <c r="D172" t="str">
        <f>TEXT(mergedcleandataset[[#This Row],[dteday]],"yyyy")</f>
        <v>2011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s="2">
        <f>DATE(mergedcleandataset[[#This Row],[yr]],mergedcleandataset[[#This Row],[mnth]],mergedcleandataset[[#This Row],[day]])</f>
        <v>40551</v>
      </c>
      <c r="R172">
        <f>DAY(mergedcleandataset[[#This Row],[dteday]])</f>
        <v>8</v>
      </c>
      <c r="S172" t="str">
        <f>IF(mergedcleandataset[[#This Row],[weekday]]&gt;=5,"Yes","No")</f>
        <v>Yes</v>
      </c>
      <c r="T172" t="b">
        <f>ISBLANK(mergedcleandataset[[#This Row],[atemp]])</f>
        <v>0</v>
      </c>
      <c r="U172" t="str">
        <f t="shared" si="2"/>
        <v>Spring</v>
      </c>
      <c r="V172" t="str">
        <f>TEXT(mergedcleandataset[[#This Row],[date]],"dddd")</f>
        <v>Saturday</v>
      </c>
      <c r="W17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173" spans="1:23" x14ac:dyDescent="0.25">
      <c r="A173">
        <v>172</v>
      </c>
      <c r="B173" s="1">
        <v>40551</v>
      </c>
      <c r="C173">
        <v>1</v>
      </c>
      <c r="D173" t="str">
        <f>TEXT(mergedcleandataset[[#This Row],[dteday]],"yyyy")</f>
        <v>2011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s="2">
        <f>DATE(mergedcleandataset[[#This Row],[yr]],mergedcleandataset[[#This Row],[mnth]],mergedcleandataset[[#This Row],[day]])</f>
        <v>40551</v>
      </c>
      <c r="R173">
        <f>DAY(mergedcleandataset[[#This Row],[dteday]])</f>
        <v>8</v>
      </c>
      <c r="S173" t="str">
        <f>IF(mergedcleandataset[[#This Row],[weekday]]&gt;=5,"Yes","No")</f>
        <v>Yes</v>
      </c>
      <c r="T173" t="b">
        <f>ISBLANK(mergedcleandataset[[#This Row],[atemp]])</f>
        <v>0</v>
      </c>
      <c r="U173" t="str">
        <f t="shared" si="2"/>
        <v>Spring</v>
      </c>
      <c r="V173" t="str">
        <f>TEXT(mergedcleandataset[[#This Row],[date]],"dddd")</f>
        <v>Saturday</v>
      </c>
      <c r="W17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74" spans="1:23" x14ac:dyDescent="0.25">
      <c r="A174">
        <v>173</v>
      </c>
      <c r="B174" s="1">
        <v>40551</v>
      </c>
      <c r="C174">
        <v>1</v>
      </c>
      <c r="D174" t="str">
        <f>TEXT(mergedcleandataset[[#This Row],[dteday]],"yyyy")</f>
        <v>2011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s="2">
        <f>DATE(mergedcleandataset[[#This Row],[yr]],mergedcleandataset[[#This Row],[mnth]],mergedcleandataset[[#This Row],[day]])</f>
        <v>40551</v>
      </c>
      <c r="R174">
        <f>DAY(mergedcleandataset[[#This Row],[dteday]])</f>
        <v>8</v>
      </c>
      <c r="S174" t="str">
        <f>IF(mergedcleandataset[[#This Row],[weekday]]&gt;=5,"Yes","No")</f>
        <v>Yes</v>
      </c>
      <c r="T174" t="b">
        <f>ISBLANK(mergedcleandataset[[#This Row],[atemp]])</f>
        <v>0</v>
      </c>
      <c r="U174" t="str">
        <f t="shared" si="2"/>
        <v>Spring</v>
      </c>
      <c r="V174" t="str">
        <f>TEXT(mergedcleandataset[[#This Row],[date]],"dddd")</f>
        <v>Saturday</v>
      </c>
      <c r="W17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75" spans="1:23" x14ac:dyDescent="0.25">
      <c r="A175">
        <v>174</v>
      </c>
      <c r="B175" s="1">
        <v>40551</v>
      </c>
      <c r="C175">
        <v>1</v>
      </c>
      <c r="D175" t="str">
        <f>TEXT(mergedcleandataset[[#This Row],[dteday]],"yyyy")</f>
        <v>2011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s="2">
        <f>DATE(mergedcleandataset[[#This Row],[yr]],mergedcleandataset[[#This Row],[mnth]],mergedcleandataset[[#This Row],[day]])</f>
        <v>40551</v>
      </c>
      <c r="R175">
        <f>DAY(mergedcleandataset[[#This Row],[dteday]])</f>
        <v>8</v>
      </c>
      <c r="S175" t="str">
        <f>IF(mergedcleandataset[[#This Row],[weekday]]&gt;=5,"Yes","No")</f>
        <v>Yes</v>
      </c>
      <c r="T175" t="b">
        <f>ISBLANK(mergedcleandataset[[#This Row],[atemp]])</f>
        <v>0</v>
      </c>
      <c r="U175" t="str">
        <f t="shared" si="2"/>
        <v>Spring</v>
      </c>
      <c r="V175" t="str">
        <f>TEXT(mergedcleandataset[[#This Row],[date]],"dddd")</f>
        <v>Saturday</v>
      </c>
      <c r="W17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176" spans="1:23" x14ac:dyDescent="0.25">
      <c r="A176">
        <v>175</v>
      </c>
      <c r="B176" s="1">
        <v>40551</v>
      </c>
      <c r="C176">
        <v>1</v>
      </c>
      <c r="D176" t="str">
        <f>TEXT(mergedcleandataset[[#This Row],[dteday]],"yyyy")</f>
        <v>2011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s="2">
        <f>DATE(mergedcleandataset[[#This Row],[yr]],mergedcleandataset[[#This Row],[mnth]],mergedcleandataset[[#This Row],[day]])</f>
        <v>40551</v>
      </c>
      <c r="R176">
        <f>DAY(mergedcleandataset[[#This Row],[dteday]])</f>
        <v>8</v>
      </c>
      <c r="S176" t="str">
        <f>IF(mergedcleandataset[[#This Row],[weekday]]&gt;=5,"Yes","No")</f>
        <v>Yes</v>
      </c>
      <c r="T176" t="b">
        <f>ISBLANK(mergedcleandataset[[#This Row],[atemp]])</f>
        <v>0</v>
      </c>
      <c r="U176" t="str">
        <f t="shared" si="2"/>
        <v>Spring</v>
      </c>
      <c r="V176" t="str">
        <f>TEXT(mergedcleandataset[[#This Row],[date]],"dddd")</f>
        <v>Saturday</v>
      </c>
      <c r="W17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77" spans="1:23" x14ac:dyDescent="0.25">
      <c r="A177">
        <v>176</v>
      </c>
      <c r="B177" s="1">
        <v>40551</v>
      </c>
      <c r="C177">
        <v>1</v>
      </c>
      <c r="D177" t="str">
        <f>TEXT(mergedcleandataset[[#This Row],[dteday]],"yyyy")</f>
        <v>2011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s="2">
        <f>DATE(mergedcleandataset[[#This Row],[yr]],mergedcleandataset[[#This Row],[mnth]],mergedcleandataset[[#This Row],[day]])</f>
        <v>40551</v>
      </c>
      <c r="R177">
        <f>DAY(mergedcleandataset[[#This Row],[dteday]])</f>
        <v>8</v>
      </c>
      <c r="S177" t="str">
        <f>IF(mergedcleandataset[[#This Row],[weekday]]&gt;=5,"Yes","No")</f>
        <v>Yes</v>
      </c>
      <c r="T177" t="b">
        <f>ISBLANK(mergedcleandataset[[#This Row],[atemp]])</f>
        <v>0</v>
      </c>
      <c r="U177" t="str">
        <f t="shared" si="2"/>
        <v>Spring</v>
      </c>
      <c r="V177" t="str">
        <f>TEXT(mergedcleandataset[[#This Row],[date]],"dddd")</f>
        <v>Saturday</v>
      </c>
      <c r="W17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78" spans="1:23" x14ac:dyDescent="0.25">
      <c r="A178">
        <v>177</v>
      </c>
      <c r="B178" s="1">
        <v>40551</v>
      </c>
      <c r="C178">
        <v>1</v>
      </c>
      <c r="D178" t="str">
        <f>TEXT(mergedcleandataset[[#This Row],[dteday]],"yyyy")</f>
        <v>2011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s="2">
        <f>DATE(mergedcleandataset[[#This Row],[yr]],mergedcleandataset[[#This Row],[mnth]],mergedcleandataset[[#This Row],[day]])</f>
        <v>40551</v>
      </c>
      <c r="R178">
        <f>DAY(mergedcleandataset[[#This Row],[dteday]])</f>
        <v>8</v>
      </c>
      <c r="S178" t="str">
        <f>IF(mergedcleandataset[[#This Row],[weekday]]&gt;=5,"Yes","No")</f>
        <v>Yes</v>
      </c>
      <c r="T178" t="b">
        <f>ISBLANK(mergedcleandataset[[#This Row],[atemp]])</f>
        <v>0</v>
      </c>
      <c r="U178" t="str">
        <f t="shared" si="2"/>
        <v>Spring</v>
      </c>
      <c r="V178" t="str">
        <f>TEXT(mergedcleandataset[[#This Row],[date]],"dddd")</f>
        <v>Saturday</v>
      </c>
      <c r="W17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79" spans="1:23" x14ac:dyDescent="0.25">
      <c r="A179">
        <v>178</v>
      </c>
      <c r="B179" s="1">
        <v>40551</v>
      </c>
      <c r="C179">
        <v>1</v>
      </c>
      <c r="D179" t="str">
        <f>TEXT(mergedcleandataset[[#This Row],[dteday]],"yyyy")</f>
        <v>2011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s="2">
        <f>DATE(mergedcleandataset[[#This Row],[yr]],mergedcleandataset[[#This Row],[mnth]],mergedcleandataset[[#This Row],[day]])</f>
        <v>40551</v>
      </c>
      <c r="R179">
        <f>DAY(mergedcleandataset[[#This Row],[dteday]])</f>
        <v>8</v>
      </c>
      <c r="S179" t="str">
        <f>IF(mergedcleandataset[[#This Row],[weekday]]&gt;=5,"Yes","No")</f>
        <v>Yes</v>
      </c>
      <c r="T179" t="b">
        <f>ISBLANK(mergedcleandataset[[#This Row],[atemp]])</f>
        <v>0</v>
      </c>
      <c r="U179" t="str">
        <f t="shared" si="2"/>
        <v>Spring</v>
      </c>
      <c r="V179" t="str">
        <f>TEXT(mergedcleandataset[[#This Row],[date]],"dddd")</f>
        <v>Saturday</v>
      </c>
      <c r="W17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0" spans="1:23" x14ac:dyDescent="0.25">
      <c r="A180">
        <v>179</v>
      </c>
      <c r="B180" s="1">
        <v>40551</v>
      </c>
      <c r="C180">
        <v>1</v>
      </c>
      <c r="D180" t="str">
        <f>TEXT(mergedcleandataset[[#This Row],[dteday]],"yyyy")</f>
        <v>2011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s="2">
        <f>DATE(mergedcleandataset[[#This Row],[yr]],mergedcleandataset[[#This Row],[mnth]],mergedcleandataset[[#This Row],[day]])</f>
        <v>40551</v>
      </c>
      <c r="R180">
        <f>DAY(mergedcleandataset[[#This Row],[dteday]])</f>
        <v>8</v>
      </c>
      <c r="S180" t="str">
        <f>IF(mergedcleandataset[[#This Row],[weekday]]&gt;=5,"Yes","No")</f>
        <v>Yes</v>
      </c>
      <c r="T180" t="b">
        <f>ISBLANK(mergedcleandataset[[#This Row],[atemp]])</f>
        <v>0</v>
      </c>
      <c r="U180" t="str">
        <f t="shared" si="2"/>
        <v>Spring</v>
      </c>
      <c r="V180" t="str">
        <f>TEXT(mergedcleandataset[[#This Row],[date]],"dddd")</f>
        <v>Saturday</v>
      </c>
      <c r="W18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1" spans="1:23" x14ac:dyDescent="0.25">
      <c r="A181">
        <v>180</v>
      </c>
      <c r="B181" s="1">
        <v>40551</v>
      </c>
      <c r="C181">
        <v>1</v>
      </c>
      <c r="D181" t="str">
        <f>TEXT(mergedcleandataset[[#This Row],[dteday]],"yyyy")</f>
        <v>2011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s="2">
        <f>DATE(mergedcleandataset[[#This Row],[yr]],mergedcleandataset[[#This Row],[mnth]],mergedcleandataset[[#This Row],[day]])</f>
        <v>40551</v>
      </c>
      <c r="R181">
        <f>DAY(mergedcleandataset[[#This Row],[dteday]])</f>
        <v>8</v>
      </c>
      <c r="S181" t="str">
        <f>IF(mergedcleandataset[[#This Row],[weekday]]&gt;=5,"Yes","No")</f>
        <v>Yes</v>
      </c>
      <c r="T181" t="b">
        <f>ISBLANK(mergedcleandataset[[#This Row],[atemp]])</f>
        <v>0</v>
      </c>
      <c r="U181" t="str">
        <f t="shared" si="2"/>
        <v>Spring</v>
      </c>
      <c r="V181" t="str">
        <f>TEXT(mergedcleandataset[[#This Row],[date]],"dddd")</f>
        <v>Saturday</v>
      </c>
      <c r="W18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2" spans="1:23" x14ac:dyDescent="0.25">
      <c r="A182">
        <v>181</v>
      </c>
      <c r="B182" s="1">
        <v>40551</v>
      </c>
      <c r="C182">
        <v>1</v>
      </c>
      <c r="D182" t="str">
        <f>TEXT(mergedcleandataset[[#This Row],[dteday]],"yyyy")</f>
        <v>2011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s="2">
        <f>DATE(mergedcleandataset[[#This Row],[yr]],mergedcleandataset[[#This Row],[mnth]],mergedcleandataset[[#This Row],[day]])</f>
        <v>40551</v>
      </c>
      <c r="R182">
        <f>DAY(mergedcleandataset[[#This Row],[dteday]])</f>
        <v>8</v>
      </c>
      <c r="S182" t="str">
        <f>IF(mergedcleandataset[[#This Row],[weekday]]&gt;=5,"Yes","No")</f>
        <v>Yes</v>
      </c>
      <c r="T182" t="b">
        <f>ISBLANK(mergedcleandataset[[#This Row],[atemp]])</f>
        <v>0</v>
      </c>
      <c r="U182" t="str">
        <f t="shared" si="2"/>
        <v>Spring</v>
      </c>
      <c r="V182" t="str">
        <f>TEXT(mergedcleandataset[[#This Row],[date]],"dddd")</f>
        <v>Saturday</v>
      </c>
      <c r="W18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3" spans="1:23" x14ac:dyDescent="0.25">
      <c r="A183">
        <v>182</v>
      </c>
      <c r="B183" s="1">
        <v>40551</v>
      </c>
      <c r="C183">
        <v>1</v>
      </c>
      <c r="D183" t="str">
        <f>TEXT(mergedcleandataset[[#This Row],[dteday]],"yyyy")</f>
        <v>2011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s="2">
        <f>DATE(mergedcleandataset[[#This Row],[yr]],mergedcleandataset[[#This Row],[mnth]],mergedcleandataset[[#This Row],[day]])</f>
        <v>40551</v>
      </c>
      <c r="R183">
        <f>DAY(mergedcleandataset[[#This Row],[dteday]])</f>
        <v>8</v>
      </c>
      <c r="S183" t="str">
        <f>IF(mergedcleandataset[[#This Row],[weekday]]&gt;=5,"Yes","No")</f>
        <v>Yes</v>
      </c>
      <c r="T183" t="b">
        <f>ISBLANK(mergedcleandataset[[#This Row],[atemp]])</f>
        <v>0</v>
      </c>
      <c r="U183" t="str">
        <f t="shared" si="2"/>
        <v>Spring</v>
      </c>
      <c r="V183" t="str">
        <f>TEXT(mergedcleandataset[[#This Row],[date]],"dddd")</f>
        <v>Saturday</v>
      </c>
      <c r="W18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4" spans="1:23" x14ac:dyDescent="0.25">
      <c r="A184">
        <v>183</v>
      </c>
      <c r="B184" s="1">
        <v>40551</v>
      </c>
      <c r="C184">
        <v>1</v>
      </c>
      <c r="D184" t="str">
        <f>TEXT(mergedcleandataset[[#This Row],[dteday]],"yyyy")</f>
        <v>2011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s="2">
        <f>DATE(mergedcleandataset[[#This Row],[yr]],mergedcleandataset[[#This Row],[mnth]],mergedcleandataset[[#This Row],[day]])</f>
        <v>40551</v>
      </c>
      <c r="R184">
        <f>DAY(mergedcleandataset[[#This Row],[dteday]])</f>
        <v>8</v>
      </c>
      <c r="S184" t="str">
        <f>IF(mergedcleandataset[[#This Row],[weekday]]&gt;=5,"Yes","No")</f>
        <v>Yes</v>
      </c>
      <c r="T184" t="b">
        <f>ISBLANK(mergedcleandataset[[#This Row],[atemp]])</f>
        <v>0</v>
      </c>
      <c r="U184" t="str">
        <f t="shared" si="2"/>
        <v>Spring</v>
      </c>
      <c r="V184" t="str">
        <f>TEXT(mergedcleandataset[[#This Row],[date]],"dddd")</f>
        <v>Saturday</v>
      </c>
      <c r="W18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5" spans="1:23" x14ac:dyDescent="0.25">
      <c r="A185">
        <v>184</v>
      </c>
      <c r="B185" s="1">
        <v>40551</v>
      </c>
      <c r="C185">
        <v>1</v>
      </c>
      <c r="D185" t="str">
        <f>TEXT(mergedcleandataset[[#This Row],[dteday]],"yyyy")</f>
        <v>2011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s="2">
        <f>DATE(mergedcleandataset[[#This Row],[yr]],mergedcleandataset[[#This Row],[mnth]],mergedcleandataset[[#This Row],[day]])</f>
        <v>40551</v>
      </c>
      <c r="R185">
        <f>DAY(mergedcleandataset[[#This Row],[dteday]])</f>
        <v>8</v>
      </c>
      <c r="S185" t="str">
        <f>IF(mergedcleandataset[[#This Row],[weekday]]&gt;=5,"Yes","No")</f>
        <v>Yes</v>
      </c>
      <c r="T185" t="b">
        <f>ISBLANK(mergedcleandataset[[#This Row],[atemp]])</f>
        <v>0</v>
      </c>
      <c r="U185" t="str">
        <f t="shared" si="2"/>
        <v>Spring</v>
      </c>
      <c r="V185" t="str">
        <f>TEXT(mergedcleandataset[[#This Row],[date]],"dddd")</f>
        <v>Saturday</v>
      </c>
      <c r="W18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6" spans="1:23" x14ac:dyDescent="0.25">
      <c r="A186">
        <v>185</v>
      </c>
      <c r="B186" s="1">
        <v>40551</v>
      </c>
      <c r="C186">
        <v>1</v>
      </c>
      <c r="D186" t="str">
        <f>TEXT(mergedcleandataset[[#This Row],[dteday]],"yyyy")</f>
        <v>2011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s="2">
        <f>DATE(mergedcleandataset[[#This Row],[yr]],mergedcleandataset[[#This Row],[mnth]],mergedcleandataset[[#This Row],[day]])</f>
        <v>40551</v>
      </c>
      <c r="R186">
        <f>DAY(mergedcleandataset[[#This Row],[dteday]])</f>
        <v>8</v>
      </c>
      <c r="S186" t="str">
        <f>IF(mergedcleandataset[[#This Row],[weekday]]&gt;=5,"Yes","No")</f>
        <v>Yes</v>
      </c>
      <c r="T186" t="b">
        <f>ISBLANK(mergedcleandataset[[#This Row],[atemp]])</f>
        <v>0</v>
      </c>
      <c r="U186" t="str">
        <f t="shared" si="2"/>
        <v>Spring</v>
      </c>
      <c r="V186" t="str">
        <f>TEXT(mergedcleandataset[[#This Row],[date]],"dddd")</f>
        <v>Saturday</v>
      </c>
      <c r="W18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7" spans="1:23" x14ac:dyDescent="0.25">
      <c r="A187">
        <v>186</v>
      </c>
      <c r="B187" s="1">
        <v>40552</v>
      </c>
      <c r="C187">
        <v>1</v>
      </c>
      <c r="D187" t="str">
        <f>TEXT(mergedcleandataset[[#This Row],[dteday]],"yyyy")</f>
        <v>2011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s="2">
        <f>DATE(mergedcleandataset[[#This Row],[yr]],mergedcleandataset[[#This Row],[mnth]],mergedcleandataset[[#This Row],[day]])</f>
        <v>40552</v>
      </c>
      <c r="R187">
        <f>DAY(mergedcleandataset[[#This Row],[dteday]])</f>
        <v>9</v>
      </c>
      <c r="S187" t="str">
        <f>IF(mergedcleandataset[[#This Row],[weekday]]&gt;=5,"Yes","No")</f>
        <v>No</v>
      </c>
      <c r="T187" t="b">
        <f>ISBLANK(mergedcleandataset[[#This Row],[atemp]])</f>
        <v>0</v>
      </c>
      <c r="U187" t="str">
        <f t="shared" si="2"/>
        <v>Spring</v>
      </c>
      <c r="V187" t="str">
        <f>TEXT(mergedcleandataset[[#This Row],[date]],"dddd")</f>
        <v>Sunday</v>
      </c>
      <c r="W18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8" spans="1:23" x14ac:dyDescent="0.25">
      <c r="A188">
        <v>187</v>
      </c>
      <c r="B188" s="1">
        <v>40552</v>
      </c>
      <c r="C188">
        <v>1</v>
      </c>
      <c r="D188" t="str">
        <f>TEXT(mergedcleandataset[[#This Row],[dteday]],"yyyy")</f>
        <v>2011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s="2">
        <f>DATE(mergedcleandataset[[#This Row],[yr]],mergedcleandataset[[#This Row],[mnth]],mergedcleandataset[[#This Row],[day]])</f>
        <v>40552</v>
      </c>
      <c r="R188">
        <f>DAY(mergedcleandataset[[#This Row],[dteday]])</f>
        <v>9</v>
      </c>
      <c r="S188" t="str">
        <f>IF(mergedcleandataset[[#This Row],[weekday]]&gt;=5,"Yes","No")</f>
        <v>No</v>
      </c>
      <c r="T188" t="b">
        <f>ISBLANK(mergedcleandataset[[#This Row],[atemp]])</f>
        <v>0</v>
      </c>
      <c r="U188" t="str">
        <f t="shared" si="2"/>
        <v>Spring</v>
      </c>
      <c r="V188" t="str">
        <f>TEXT(mergedcleandataset[[#This Row],[date]],"dddd")</f>
        <v>Sunday</v>
      </c>
      <c r="W18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89" spans="1:23" x14ac:dyDescent="0.25">
      <c r="A189">
        <v>188</v>
      </c>
      <c r="B189" s="1">
        <v>40552</v>
      </c>
      <c r="C189">
        <v>1</v>
      </c>
      <c r="D189" t="str">
        <f>TEXT(mergedcleandataset[[#This Row],[dteday]],"yyyy")</f>
        <v>2011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s="2">
        <f>DATE(mergedcleandataset[[#This Row],[yr]],mergedcleandataset[[#This Row],[mnth]],mergedcleandataset[[#This Row],[day]])</f>
        <v>40552</v>
      </c>
      <c r="R189">
        <f>DAY(mergedcleandataset[[#This Row],[dteday]])</f>
        <v>9</v>
      </c>
      <c r="S189" t="str">
        <f>IF(mergedcleandataset[[#This Row],[weekday]]&gt;=5,"Yes","No")</f>
        <v>No</v>
      </c>
      <c r="T189" t="b">
        <f>ISBLANK(mergedcleandataset[[#This Row],[atemp]])</f>
        <v>0</v>
      </c>
      <c r="U189" t="str">
        <f t="shared" si="2"/>
        <v>Spring</v>
      </c>
      <c r="V189" t="str">
        <f>TEXT(mergedcleandataset[[#This Row],[date]],"dddd")</f>
        <v>Sunday</v>
      </c>
      <c r="W18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0" spans="1:23" x14ac:dyDescent="0.25">
      <c r="A190">
        <v>189</v>
      </c>
      <c r="B190" s="1">
        <v>40552</v>
      </c>
      <c r="C190">
        <v>1</v>
      </c>
      <c r="D190" t="str">
        <f>TEXT(mergedcleandataset[[#This Row],[dteday]],"yyyy")</f>
        <v>2011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s="2">
        <f>DATE(mergedcleandataset[[#This Row],[yr]],mergedcleandataset[[#This Row],[mnth]],mergedcleandataset[[#This Row],[day]])</f>
        <v>40552</v>
      </c>
      <c r="R190">
        <f>DAY(mergedcleandataset[[#This Row],[dteday]])</f>
        <v>9</v>
      </c>
      <c r="S190" t="str">
        <f>IF(mergedcleandataset[[#This Row],[weekday]]&gt;=5,"Yes","No")</f>
        <v>No</v>
      </c>
      <c r="T190" t="b">
        <f>ISBLANK(mergedcleandataset[[#This Row],[atemp]])</f>
        <v>0</v>
      </c>
      <c r="U190" t="str">
        <f t="shared" si="2"/>
        <v>Spring</v>
      </c>
      <c r="V190" t="str">
        <f>TEXT(mergedcleandataset[[#This Row],[date]],"dddd")</f>
        <v>Sunday</v>
      </c>
      <c r="W19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1" spans="1:23" x14ac:dyDescent="0.25">
      <c r="A191">
        <v>190</v>
      </c>
      <c r="B191" s="1">
        <v>40552</v>
      </c>
      <c r="C191">
        <v>1</v>
      </c>
      <c r="D191" t="str">
        <f>TEXT(mergedcleandataset[[#This Row],[dteday]],"yyyy")</f>
        <v>2011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s="2">
        <f>DATE(mergedcleandataset[[#This Row],[yr]],mergedcleandataset[[#This Row],[mnth]],mergedcleandataset[[#This Row],[day]])</f>
        <v>40552</v>
      </c>
      <c r="R191">
        <f>DAY(mergedcleandataset[[#This Row],[dteday]])</f>
        <v>9</v>
      </c>
      <c r="S191" t="str">
        <f>IF(mergedcleandataset[[#This Row],[weekday]]&gt;=5,"Yes","No")</f>
        <v>No</v>
      </c>
      <c r="T191" t="b">
        <f>ISBLANK(mergedcleandataset[[#This Row],[atemp]])</f>
        <v>0</v>
      </c>
      <c r="U191" t="str">
        <f t="shared" si="2"/>
        <v>Spring</v>
      </c>
      <c r="V191" t="str">
        <f>TEXT(mergedcleandataset[[#This Row],[date]],"dddd")</f>
        <v>Sunday</v>
      </c>
      <c r="W19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2" spans="1:23" x14ac:dyDescent="0.25">
      <c r="A192">
        <v>191</v>
      </c>
      <c r="B192" s="1">
        <v>40552</v>
      </c>
      <c r="C192">
        <v>1</v>
      </c>
      <c r="D192" t="str">
        <f>TEXT(mergedcleandataset[[#This Row],[dteday]],"yyyy")</f>
        <v>2011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s="2">
        <f>DATE(mergedcleandataset[[#This Row],[yr]],mergedcleandataset[[#This Row],[mnth]],mergedcleandataset[[#This Row],[day]])</f>
        <v>40552</v>
      </c>
      <c r="R192">
        <f>DAY(mergedcleandataset[[#This Row],[dteday]])</f>
        <v>9</v>
      </c>
      <c r="S192" t="str">
        <f>IF(mergedcleandataset[[#This Row],[weekday]]&gt;=5,"Yes","No")</f>
        <v>No</v>
      </c>
      <c r="T192" t="b">
        <f>ISBLANK(mergedcleandataset[[#This Row],[atemp]])</f>
        <v>0</v>
      </c>
      <c r="U192" t="str">
        <f t="shared" si="2"/>
        <v>Spring</v>
      </c>
      <c r="V192" t="str">
        <f>TEXT(mergedcleandataset[[#This Row],[date]],"dddd")</f>
        <v>Sunday</v>
      </c>
      <c r="W19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3" spans="1:23" x14ac:dyDescent="0.25">
      <c r="A193">
        <v>192</v>
      </c>
      <c r="B193" s="1">
        <v>40552</v>
      </c>
      <c r="C193">
        <v>1</v>
      </c>
      <c r="D193" t="str">
        <f>TEXT(mergedcleandataset[[#This Row],[dteday]],"yyyy")</f>
        <v>2011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s="2">
        <f>DATE(mergedcleandataset[[#This Row],[yr]],mergedcleandataset[[#This Row],[mnth]],mergedcleandataset[[#This Row],[day]])</f>
        <v>40552</v>
      </c>
      <c r="R193">
        <f>DAY(mergedcleandataset[[#This Row],[dteday]])</f>
        <v>9</v>
      </c>
      <c r="S193" t="str">
        <f>IF(mergedcleandataset[[#This Row],[weekday]]&gt;=5,"Yes","No")</f>
        <v>No</v>
      </c>
      <c r="T193" t="b">
        <f>ISBLANK(mergedcleandataset[[#This Row],[atemp]])</f>
        <v>0</v>
      </c>
      <c r="U193" t="str">
        <f t="shared" si="2"/>
        <v>Spring</v>
      </c>
      <c r="V193" t="str">
        <f>TEXT(mergedcleandataset[[#This Row],[date]],"dddd")</f>
        <v>Sunday</v>
      </c>
      <c r="W19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4" spans="1:23" x14ac:dyDescent="0.25">
      <c r="A194">
        <v>193</v>
      </c>
      <c r="B194" s="1">
        <v>40552</v>
      </c>
      <c r="C194">
        <v>1</v>
      </c>
      <c r="D194" t="str">
        <f>TEXT(mergedcleandataset[[#This Row],[dteday]],"yyyy")</f>
        <v>2011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s="2">
        <f>DATE(mergedcleandataset[[#This Row],[yr]],mergedcleandataset[[#This Row],[mnth]],mergedcleandataset[[#This Row],[day]])</f>
        <v>40552</v>
      </c>
      <c r="R194">
        <f>DAY(mergedcleandataset[[#This Row],[dteday]])</f>
        <v>9</v>
      </c>
      <c r="S194" t="str">
        <f>IF(mergedcleandataset[[#This Row],[weekday]]&gt;=5,"Yes","No")</f>
        <v>No</v>
      </c>
      <c r="T194" t="b">
        <f>ISBLANK(mergedcleandataset[[#This Row],[atemp]])</f>
        <v>0</v>
      </c>
      <c r="U194" t="str">
        <f t="shared" ref="U194:U257" si="3">IF(C194=1,"Spring",
IF(C194=2,"Summer",
IF(C194=3,"Fall",
IF(C194=4,"Winter","Unknown"))))</f>
        <v>Spring</v>
      </c>
      <c r="V194" t="str">
        <f>TEXT(mergedcleandataset[[#This Row],[date]],"dddd")</f>
        <v>Sunday</v>
      </c>
      <c r="W1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5" spans="1:23" x14ac:dyDescent="0.25">
      <c r="A195">
        <v>194</v>
      </c>
      <c r="B195" s="1">
        <v>40552</v>
      </c>
      <c r="C195">
        <v>1</v>
      </c>
      <c r="D195" t="str">
        <f>TEXT(mergedcleandataset[[#This Row],[dteday]],"yyyy")</f>
        <v>2011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s="2">
        <f>DATE(mergedcleandataset[[#This Row],[yr]],mergedcleandataset[[#This Row],[mnth]],mergedcleandataset[[#This Row],[day]])</f>
        <v>40552</v>
      </c>
      <c r="R195">
        <f>DAY(mergedcleandataset[[#This Row],[dteday]])</f>
        <v>9</v>
      </c>
      <c r="S195" t="str">
        <f>IF(mergedcleandataset[[#This Row],[weekday]]&gt;=5,"Yes","No")</f>
        <v>No</v>
      </c>
      <c r="T195" t="b">
        <f>ISBLANK(mergedcleandataset[[#This Row],[atemp]])</f>
        <v>0</v>
      </c>
      <c r="U195" t="str">
        <f t="shared" si="3"/>
        <v>Spring</v>
      </c>
      <c r="V195" t="str">
        <f>TEXT(mergedcleandataset[[#This Row],[date]],"dddd")</f>
        <v>Sunday</v>
      </c>
      <c r="W1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6" spans="1:23" x14ac:dyDescent="0.25">
      <c r="A196">
        <v>195</v>
      </c>
      <c r="B196" s="1">
        <v>40552</v>
      </c>
      <c r="C196">
        <v>1</v>
      </c>
      <c r="D196" t="str">
        <f>TEXT(mergedcleandataset[[#This Row],[dteday]],"yyyy")</f>
        <v>2011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s="2">
        <f>DATE(mergedcleandataset[[#This Row],[yr]],mergedcleandataset[[#This Row],[mnth]],mergedcleandataset[[#This Row],[day]])</f>
        <v>40552</v>
      </c>
      <c r="R196">
        <f>DAY(mergedcleandataset[[#This Row],[dteday]])</f>
        <v>9</v>
      </c>
      <c r="S196" t="str">
        <f>IF(mergedcleandataset[[#This Row],[weekday]]&gt;=5,"Yes","No")</f>
        <v>No</v>
      </c>
      <c r="T196" t="b">
        <f>ISBLANK(mergedcleandataset[[#This Row],[atemp]])</f>
        <v>0</v>
      </c>
      <c r="U196" t="str">
        <f t="shared" si="3"/>
        <v>Spring</v>
      </c>
      <c r="V196" t="str">
        <f>TEXT(mergedcleandataset[[#This Row],[date]],"dddd")</f>
        <v>Sunday</v>
      </c>
      <c r="W19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7" spans="1:23" x14ac:dyDescent="0.25">
      <c r="A197">
        <v>196</v>
      </c>
      <c r="B197" s="1">
        <v>40552</v>
      </c>
      <c r="C197">
        <v>1</v>
      </c>
      <c r="D197" t="str">
        <f>TEXT(mergedcleandataset[[#This Row],[dteday]],"yyyy")</f>
        <v>2011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s="2">
        <f>DATE(mergedcleandataset[[#This Row],[yr]],mergedcleandataset[[#This Row],[mnth]],mergedcleandataset[[#This Row],[day]])</f>
        <v>40552</v>
      </c>
      <c r="R197">
        <f>DAY(mergedcleandataset[[#This Row],[dteday]])</f>
        <v>9</v>
      </c>
      <c r="S197" t="str">
        <f>IF(mergedcleandataset[[#This Row],[weekday]]&gt;=5,"Yes","No")</f>
        <v>No</v>
      </c>
      <c r="T197" t="b">
        <f>ISBLANK(mergedcleandataset[[#This Row],[atemp]])</f>
        <v>0</v>
      </c>
      <c r="U197" t="str">
        <f t="shared" si="3"/>
        <v>Spring</v>
      </c>
      <c r="V197" t="str">
        <f>TEXT(mergedcleandataset[[#This Row],[date]],"dddd")</f>
        <v>Sunday</v>
      </c>
      <c r="W19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8" spans="1:23" x14ac:dyDescent="0.25">
      <c r="A198">
        <v>197</v>
      </c>
      <c r="B198" s="1">
        <v>40552</v>
      </c>
      <c r="C198">
        <v>1</v>
      </c>
      <c r="D198" t="str">
        <f>TEXT(mergedcleandataset[[#This Row],[dteday]],"yyyy")</f>
        <v>2011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s="2">
        <f>DATE(mergedcleandataset[[#This Row],[yr]],mergedcleandataset[[#This Row],[mnth]],mergedcleandataset[[#This Row],[day]])</f>
        <v>40552</v>
      </c>
      <c r="R198">
        <f>DAY(mergedcleandataset[[#This Row],[dteday]])</f>
        <v>9</v>
      </c>
      <c r="S198" t="str">
        <f>IF(mergedcleandataset[[#This Row],[weekday]]&gt;=5,"Yes","No")</f>
        <v>No</v>
      </c>
      <c r="T198" t="b">
        <f>ISBLANK(mergedcleandataset[[#This Row],[atemp]])</f>
        <v>0</v>
      </c>
      <c r="U198" t="str">
        <f t="shared" si="3"/>
        <v>Spring</v>
      </c>
      <c r="V198" t="str">
        <f>TEXT(mergedcleandataset[[#This Row],[date]],"dddd")</f>
        <v>Sunday</v>
      </c>
      <c r="W19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99" spans="1:23" x14ac:dyDescent="0.25">
      <c r="A199">
        <v>198</v>
      </c>
      <c r="B199" s="1">
        <v>40552</v>
      </c>
      <c r="C199">
        <v>1</v>
      </c>
      <c r="D199" t="str">
        <f>TEXT(mergedcleandataset[[#This Row],[dteday]],"yyyy")</f>
        <v>2011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s="2">
        <f>DATE(mergedcleandataset[[#This Row],[yr]],mergedcleandataset[[#This Row],[mnth]],mergedcleandataset[[#This Row],[day]])</f>
        <v>40552</v>
      </c>
      <c r="R199">
        <f>DAY(mergedcleandataset[[#This Row],[dteday]])</f>
        <v>9</v>
      </c>
      <c r="S199" t="str">
        <f>IF(mergedcleandataset[[#This Row],[weekday]]&gt;=5,"Yes","No")</f>
        <v>No</v>
      </c>
      <c r="T199" t="b">
        <f>ISBLANK(mergedcleandataset[[#This Row],[atemp]])</f>
        <v>0</v>
      </c>
      <c r="U199" t="str">
        <f t="shared" si="3"/>
        <v>Spring</v>
      </c>
      <c r="V199" t="str">
        <f>TEXT(mergedcleandataset[[#This Row],[date]],"dddd")</f>
        <v>Sunday</v>
      </c>
      <c r="W1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0" spans="1:23" x14ac:dyDescent="0.25">
      <c r="A200">
        <v>199</v>
      </c>
      <c r="B200" s="1">
        <v>40552</v>
      </c>
      <c r="C200">
        <v>1</v>
      </c>
      <c r="D200" t="str">
        <f>TEXT(mergedcleandataset[[#This Row],[dteday]],"yyyy")</f>
        <v>2011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s="2">
        <f>DATE(mergedcleandataset[[#This Row],[yr]],mergedcleandataset[[#This Row],[mnth]],mergedcleandataset[[#This Row],[day]])</f>
        <v>40552</v>
      </c>
      <c r="R200">
        <f>DAY(mergedcleandataset[[#This Row],[dteday]])</f>
        <v>9</v>
      </c>
      <c r="S200" t="str">
        <f>IF(mergedcleandataset[[#This Row],[weekday]]&gt;=5,"Yes","No")</f>
        <v>No</v>
      </c>
      <c r="T200" t="b">
        <f>ISBLANK(mergedcleandataset[[#This Row],[atemp]])</f>
        <v>0</v>
      </c>
      <c r="U200" t="str">
        <f t="shared" si="3"/>
        <v>Spring</v>
      </c>
      <c r="V200" t="str">
        <f>TEXT(mergedcleandataset[[#This Row],[date]],"dddd")</f>
        <v>Sunday</v>
      </c>
      <c r="W2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1" spans="1:23" x14ac:dyDescent="0.25">
      <c r="A201">
        <v>200</v>
      </c>
      <c r="B201" s="1">
        <v>40552</v>
      </c>
      <c r="C201">
        <v>1</v>
      </c>
      <c r="D201" t="str">
        <f>TEXT(mergedcleandataset[[#This Row],[dteday]],"yyyy")</f>
        <v>2011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s="2">
        <f>DATE(mergedcleandataset[[#This Row],[yr]],mergedcleandataset[[#This Row],[mnth]],mergedcleandataset[[#This Row],[day]])</f>
        <v>40552</v>
      </c>
      <c r="R201">
        <f>DAY(mergedcleandataset[[#This Row],[dteday]])</f>
        <v>9</v>
      </c>
      <c r="S201" t="str">
        <f>IF(mergedcleandataset[[#This Row],[weekday]]&gt;=5,"Yes","No")</f>
        <v>No</v>
      </c>
      <c r="T201" t="b">
        <f>ISBLANK(mergedcleandataset[[#This Row],[atemp]])</f>
        <v>0</v>
      </c>
      <c r="U201" t="str">
        <f t="shared" si="3"/>
        <v>Spring</v>
      </c>
      <c r="V201" t="str">
        <f>TEXT(mergedcleandataset[[#This Row],[date]],"dddd")</f>
        <v>Sunday</v>
      </c>
      <c r="W2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2" spans="1:23" x14ac:dyDescent="0.25">
      <c r="A202">
        <v>201</v>
      </c>
      <c r="B202" s="1">
        <v>40552</v>
      </c>
      <c r="C202">
        <v>1</v>
      </c>
      <c r="D202" t="str">
        <f>TEXT(mergedcleandataset[[#This Row],[dteday]],"yyyy")</f>
        <v>2011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s="2">
        <f>DATE(mergedcleandataset[[#This Row],[yr]],mergedcleandataset[[#This Row],[mnth]],mergedcleandataset[[#This Row],[day]])</f>
        <v>40552</v>
      </c>
      <c r="R202">
        <f>DAY(mergedcleandataset[[#This Row],[dteday]])</f>
        <v>9</v>
      </c>
      <c r="S202" t="str">
        <f>IF(mergedcleandataset[[#This Row],[weekday]]&gt;=5,"Yes","No")</f>
        <v>No</v>
      </c>
      <c r="T202" t="b">
        <f>ISBLANK(mergedcleandataset[[#This Row],[atemp]])</f>
        <v>0</v>
      </c>
      <c r="U202" t="str">
        <f t="shared" si="3"/>
        <v>Spring</v>
      </c>
      <c r="V202" t="str">
        <f>TEXT(mergedcleandataset[[#This Row],[date]],"dddd")</f>
        <v>Sunday</v>
      </c>
      <c r="W20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3" spans="1:23" x14ac:dyDescent="0.25">
      <c r="A203">
        <v>202</v>
      </c>
      <c r="B203" s="1">
        <v>40552</v>
      </c>
      <c r="C203">
        <v>1</v>
      </c>
      <c r="D203" t="str">
        <f>TEXT(mergedcleandataset[[#This Row],[dteday]],"yyyy")</f>
        <v>2011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s="2">
        <f>DATE(mergedcleandataset[[#This Row],[yr]],mergedcleandataset[[#This Row],[mnth]],mergedcleandataset[[#This Row],[day]])</f>
        <v>40552</v>
      </c>
      <c r="R203">
        <f>DAY(mergedcleandataset[[#This Row],[dteday]])</f>
        <v>9</v>
      </c>
      <c r="S203" t="str">
        <f>IF(mergedcleandataset[[#This Row],[weekday]]&gt;=5,"Yes","No")</f>
        <v>No</v>
      </c>
      <c r="T203" t="b">
        <f>ISBLANK(mergedcleandataset[[#This Row],[atemp]])</f>
        <v>0</v>
      </c>
      <c r="U203" t="str">
        <f t="shared" si="3"/>
        <v>Spring</v>
      </c>
      <c r="V203" t="str">
        <f>TEXT(mergedcleandataset[[#This Row],[date]],"dddd")</f>
        <v>Sunday</v>
      </c>
      <c r="W20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4" spans="1:23" x14ac:dyDescent="0.25">
      <c r="A204">
        <v>203</v>
      </c>
      <c r="B204" s="1">
        <v>40552</v>
      </c>
      <c r="C204">
        <v>1</v>
      </c>
      <c r="D204" t="str">
        <f>TEXT(mergedcleandataset[[#This Row],[dteday]],"yyyy")</f>
        <v>2011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s="2">
        <f>DATE(mergedcleandataset[[#This Row],[yr]],mergedcleandataset[[#This Row],[mnth]],mergedcleandataset[[#This Row],[day]])</f>
        <v>40552</v>
      </c>
      <c r="R204">
        <f>DAY(mergedcleandataset[[#This Row],[dteday]])</f>
        <v>9</v>
      </c>
      <c r="S204" t="str">
        <f>IF(mergedcleandataset[[#This Row],[weekday]]&gt;=5,"Yes","No")</f>
        <v>No</v>
      </c>
      <c r="T204" t="b">
        <f>ISBLANK(mergedcleandataset[[#This Row],[atemp]])</f>
        <v>0</v>
      </c>
      <c r="U204" t="str">
        <f t="shared" si="3"/>
        <v>Spring</v>
      </c>
      <c r="V204" t="str">
        <f>TEXT(mergedcleandataset[[#This Row],[date]],"dddd")</f>
        <v>Sunday</v>
      </c>
      <c r="W20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5" spans="1:23" x14ac:dyDescent="0.25">
      <c r="A205">
        <v>204</v>
      </c>
      <c r="B205" s="1">
        <v>40552</v>
      </c>
      <c r="C205">
        <v>1</v>
      </c>
      <c r="D205" t="str">
        <f>TEXT(mergedcleandataset[[#This Row],[dteday]],"yyyy")</f>
        <v>2011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s="2">
        <f>DATE(mergedcleandataset[[#This Row],[yr]],mergedcleandataset[[#This Row],[mnth]],mergedcleandataset[[#This Row],[day]])</f>
        <v>40552</v>
      </c>
      <c r="R205">
        <f>DAY(mergedcleandataset[[#This Row],[dteday]])</f>
        <v>9</v>
      </c>
      <c r="S205" t="str">
        <f>IF(mergedcleandataset[[#This Row],[weekday]]&gt;=5,"Yes","No")</f>
        <v>No</v>
      </c>
      <c r="T205" t="b">
        <f>ISBLANK(mergedcleandataset[[#This Row],[atemp]])</f>
        <v>0</v>
      </c>
      <c r="U205" t="str">
        <f t="shared" si="3"/>
        <v>Spring</v>
      </c>
      <c r="V205" t="str">
        <f>TEXT(mergedcleandataset[[#This Row],[date]],"dddd")</f>
        <v>Sunday</v>
      </c>
      <c r="W20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6" spans="1:23" x14ac:dyDescent="0.25">
      <c r="A206">
        <v>205</v>
      </c>
      <c r="B206" s="1">
        <v>40552</v>
      </c>
      <c r="C206">
        <v>1</v>
      </c>
      <c r="D206" t="str">
        <f>TEXT(mergedcleandataset[[#This Row],[dteday]],"yyyy")</f>
        <v>2011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s="2">
        <f>DATE(mergedcleandataset[[#This Row],[yr]],mergedcleandataset[[#This Row],[mnth]],mergedcleandataset[[#This Row],[day]])</f>
        <v>40552</v>
      </c>
      <c r="R206">
        <f>DAY(mergedcleandataset[[#This Row],[dteday]])</f>
        <v>9</v>
      </c>
      <c r="S206" t="str">
        <f>IF(mergedcleandataset[[#This Row],[weekday]]&gt;=5,"Yes","No")</f>
        <v>No</v>
      </c>
      <c r="T206" t="b">
        <f>ISBLANK(mergedcleandataset[[#This Row],[atemp]])</f>
        <v>0</v>
      </c>
      <c r="U206" t="str">
        <f t="shared" si="3"/>
        <v>Spring</v>
      </c>
      <c r="V206" t="str">
        <f>TEXT(mergedcleandataset[[#This Row],[date]],"dddd")</f>
        <v>Sunday</v>
      </c>
      <c r="W20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7" spans="1:23" x14ac:dyDescent="0.25">
      <c r="A207">
        <v>206</v>
      </c>
      <c r="B207" s="1">
        <v>40552</v>
      </c>
      <c r="C207">
        <v>1</v>
      </c>
      <c r="D207" t="str">
        <f>TEXT(mergedcleandataset[[#This Row],[dteday]],"yyyy")</f>
        <v>2011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s="2">
        <f>DATE(mergedcleandataset[[#This Row],[yr]],mergedcleandataset[[#This Row],[mnth]],mergedcleandataset[[#This Row],[day]])</f>
        <v>40552</v>
      </c>
      <c r="R207">
        <f>DAY(mergedcleandataset[[#This Row],[dteday]])</f>
        <v>9</v>
      </c>
      <c r="S207" t="str">
        <f>IF(mergedcleandataset[[#This Row],[weekday]]&gt;=5,"Yes","No")</f>
        <v>No</v>
      </c>
      <c r="T207" t="b">
        <f>ISBLANK(mergedcleandataset[[#This Row],[atemp]])</f>
        <v>0</v>
      </c>
      <c r="U207" t="str">
        <f t="shared" si="3"/>
        <v>Spring</v>
      </c>
      <c r="V207" t="str">
        <f>TEXT(mergedcleandataset[[#This Row],[date]],"dddd")</f>
        <v>Sunday</v>
      </c>
      <c r="W20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8" spans="1:23" x14ac:dyDescent="0.25">
      <c r="A208">
        <v>207</v>
      </c>
      <c r="B208" s="1">
        <v>40552</v>
      </c>
      <c r="C208">
        <v>1</v>
      </c>
      <c r="D208" t="str">
        <f>TEXT(mergedcleandataset[[#This Row],[dteday]],"yyyy")</f>
        <v>2011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s="2">
        <f>DATE(mergedcleandataset[[#This Row],[yr]],mergedcleandataset[[#This Row],[mnth]],mergedcleandataset[[#This Row],[day]])</f>
        <v>40552</v>
      </c>
      <c r="R208">
        <f>DAY(mergedcleandataset[[#This Row],[dteday]])</f>
        <v>9</v>
      </c>
      <c r="S208" t="str">
        <f>IF(mergedcleandataset[[#This Row],[weekday]]&gt;=5,"Yes","No")</f>
        <v>No</v>
      </c>
      <c r="T208" t="b">
        <f>ISBLANK(mergedcleandataset[[#This Row],[atemp]])</f>
        <v>0</v>
      </c>
      <c r="U208" t="str">
        <f t="shared" si="3"/>
        <v>Spring</v>
      </c>
      <c r="V208" t="str">
        <f>TEXT(mergedcleandataset[[#This Row],[date]],"dddd")</f>
        <v>Sunday</v>
      </c>
      <c r="W20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09" spans="1:23" x14ac:dyDescent="0.25">
      <c r="A209">
        <v>208</v>
      </c>
      <c r="B209" s="1">
        <v>40552</v>
      </c>
      <c r="C209">
        <v>1</v>
      </c>
      <c r="D209" t="str">
        <f>TEXT(mergedcleandataset[[#This Row],[dteday]],"yyyy")</f>
        <v>2011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s="2">
        <f>DATE(mergedcleandataset[[#This Row],[yr]],mergedcleandataset[[#This Row],[mnth]],mergedcleandataset[[#This Row],[day]])</f>
        <v>40552</v>
      </c>
      <c r="R209">
        <f>DAY(mergedcleandataset[[#This Row],[dteday]])</f>
        <v>9</v>
      </c>
      <c r="S209" t="str">
        <f>IF(mergedcleandataset[[#This Row],[weekday]]&gt;=5,"Yes","No")</f>
        <v>No</v>
      </c>
      <c r="T209" t="b">
        <f>ISBLANK(mergedcleandataset[[#This Row],[atemp]])</f>
        <v>0</v>
      </c>
      <c r="U209" t="str">
        <f t="shared" si="3"/>
        <v>Spring</v>
      </c>
      <c r="V209" t="str">
        <f>TEXT(mergedcleandataset[[#This Row],[date]],"dddd")</f>
        <v>Sunday</v>
      </c>
      <c r="W20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0" spans="1:23" x14ac:dyDescent="0.25">
      <c r="A210">
        <v>209</v>
      </c>
      <c r="B210" s="1">
        <v>40552</v>
      </c>
      <c r="C210">
        <v>1</v>
      </c>
      <c r="D210" t="str">
        <f>TEXT(mergedcleandataset[[#This Row],[dteday]],"yyyy")</f>
        <v>2011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s="2">
        <f>DATE(mergedcleandataset[[#This Row],[yr]],mergedcleandataset[[#This Row],[mnth]],mergedcleandataset[[#This Row],[day]])</f>
        <v>40552</v>
      </c>
      <c r="R210">
        <f>DAY(mergedcleandataset[[#This Row],[dteday]])</f>
        <v>9</v>
      </c>
      <c r="S210" t="str">
        <f>IF(mergedcleandataset[[#This Row],[weekday]]&gt;=5,"Yes","No")</f>
        <v>No</v>
      </c>
      <c r="T210" t="b">
        <f>ISBLANK(mergedcleandataset[[#This Row],[atemp]])</f>
        <v>0</v>
      </c>
      <c r="U210" t="str">
        <f t="shared" si="3"/>
        <v>Spring</v>
      </c>
      <c r="V210" t="str">
        <f>TEXT(mergedcleandataset[[#This Row],[date]],"dddd")</f>
        <v>Sunday</v>
      </c>
      <c r="W2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1" spans="1:23" x14ac:dyDescent="0.25">
      <c r="A211">
        <v>210</v>
      </c>
      <c r="B211" s="1">
        <v>40553</v>
      </c>
      <c r="C211">
        <v>1</v>
      </c>
      <c r="D211" t="str">
        <f>TEXT(mergedcleandataset[[#This Row],[dteday]],"yyyy")</f>
        <v>2011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s="2">
        <f>DATE(mergedcleandataset[[#This Row],[yr]],mergedcleandataset[[#This Row],[mnth]],mergedcleandataset[[#This Row],[day]])</f>
        <v>40553</v>
      </c>
      <c r="R211">
        <f>DAY(mergedcleandataset[[#This Row],[dteday]])</f>
        <v>10</v>
      </c>
      <c r="S211" t="str">
        <f>IF(mergedcleandataset[[#This Row],[weekday]]&gt;=5,"Yes","No")</f>
        <v>No</v>
      </c>
      <c r="T211" t="b">
        <f>ISBLANK(mergedcleandataset[[#This Row],[atemp]])</f>
        <v>0</v>
      </c>
      <c r="U211" t="str">
        <f t="shared" si="3"/>
        <v>Spring</v>
      </c>
      <c r="V211" t="str">
        <f>TEXT(mergedcleandataset[[#This Row],[date]],"dddd")</f>
        <v>Monday</v>
      </c>
      <c r="W2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2" spans="1:23" x14ac:dyDescent="0.25">
      <c r="A212">
        <v>211</v>
      </c>
      <c r="B212" s="1">
        <v>40553</v>
      </c>
      <c r="C212">
        <v>1</v>
      </c>
      <c r="D212" t="str">
        <f>TEXT(mergedcleandataset[[#This Row],[dteday]],"yyyy")</f>
        <v>2011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s="2">
        <f>DATE(mergedcleandataset[[#This Row],[yr]],mergedcleandataset[[#This Row],[mnth]],mergedcleandataset[[#This Row],[day]])</f>
        <v>40553</v>
      </c>
      <c r="R212">
        <f>DAY(mergedcleandataset[[#This Row],[dteday]])</f>
        <v>10</v>
      </c>
      <c r="S212" t="str">
        <f>IF(mergedcleandataset[[#This Row],[weekday]]&gt;=5,"Yes","No")</f>
        <v>No</v>
      </c>
      <c r="T212" t="b">
        <f>ISBLANK(mergedcleandataset[[#This Row],[atemp]])</f>
        <v>0</v>
      </c>
      <c r="U212" t="str">
        <f t="shared" si="3"/>
        <v>Spring</v>
      </c>
      <c r="V212" t="str">
        <f>TEXT(mergedcleandataset[[#This Row],[date]],"dddd")</f>
        <v>Monday</v>
      </c>
      <c r="W2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3" spans="1:23" x14ac:dyDescent="0.25">
      <c r="A213">
        <v>212</v>
      </c>
      <c r="B213" s="1">
        <v>40553</v>
      </c>
      <c r="C213">
        <v>1</v>
      </c>
      <c r="D213" t="str">
        <f>TEXT(mergedcleandataset[[#This Row],[dteday]],"yyyy")</f>
        <v>2011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s="2">
        <f>DATE(mergedcleandataset[[#This Row],[yr]],mergedcleandataset[[#This Row],[mnth]],mergedcleandataset[[#This Row],[day]])</f>
        <v>40553</v>
      </c>
      <c r="R213">
        <f>DAY(mergedcleandataset[[#This Row],[dteday]])</f>
        <v>10</v>
      </c>
      <c r="S213" t="str">
        <f>IF(mergedcleandataset[[#This Row],[weekday]]&gt;=5,"Yes","No")</f>
        <v>No</v>
      </c>
      <c r="T213" t="b">
        <f>ISBLANK(mergedcleandataset[[#This Row],[atemp]])</f>
        <v>0</v>
      </c>
      <c r="U213" t="str">
        <f t="shared" si="3"/>
        <v>Spring</v>
      </c>
      <c r="V213" t="str">
        <f>TEXT(mergedcleandataset[[#This Row],[date]],"dddd")</f>
        <v>Monday</v>
      </c>
      <c r="W2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4" spans="1:23" x14ac:dyDescent="0.25">
      <c r="A214">
        <v>213</v>
      </c>
      <c r="B214" s="1">
        <v>40553</v>
      </c>
      <c r="C214">
        <v>1</v>
      </c>
      <c r="D214" t="str">
        <f>TEXT(mergedcleandataset[[#This Row],[dteday]],"yyyy")</f>
        <v>2011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s="2">
        <f>DATE(mergedcleandataset[[#This Row],[yr]],mergedcleandataset[[#This Row],[mnth]],mergedcleandataset[[#This Row],[day]])</f>
        <v>40553</v>
      </c>
      <c r="R214">
        <f>DAY(mergedcleandataset[[#This Row],[dteday]])</f>
        <v>10</v>
      </c>
      <c r="S214" t="str">
        <f>IF(mergedcleandataset[[#This Row],[weekday]]&gt;=5,"Yes","No")</f>
        <v>No</v>
      </c>
      <c r="T214" t="b">
        <f>ISBLANK(mergedcleandataset[[#This Row],[atemp]])</f>
        <v>0</v>
      </c>
      <c r="U214" t="str">
        <f t="shared" si="3"/>
        <v>Spring</v>
      </c>
      <c r="V214" t="str">
        <f>TEXT(mergedcleandataset[[#This Row],[date]],"dddd")</f>
        <v>Monday</v>
      </c>
      <c r="W2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5" spans="1:23" x14ac:dyDescent="0.25">
      <c r="A215">
        <v>214</v>
      </c>
      <c r="B215" s="1">
        <v>40553</v>
      </c>
      <c r="C215">
        <v>1</v>
      </c>
      <c r="D215" t="str">
        <f>TEXT(mergedcleandataset[[#This Row],[dteday]],"yyyy")</f>
        <v>2011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s="2">
        <f>DATE(mergedcleandataset[[#This Row],[yr]],mergedcleandataset[[#This Row],[mnth]],mergedcleandataset[[#This Row],[day]])</f>
        <v>40553</v>
      </c>
      <c r="R215">
        <f>DAY(mergedcleandataset[[#This Row],[dteday]])</f>
        <v>10</v>
      </c>
      <c r="S215" t="str">
        <f>IF(mergedcleandataset[[#This Row],[weekday]]&gt;=5,"Yes","No")</f>
        <v>No</v>
      </c>
      <c r="T215" t="b">
        <f>ISBLANK(mergedcleandataset[[#This Row],[atemp]])</f>
        <v>0</v>
      </c>
      <c r="U215" t="str">
        <f t="shared" si="3"/>
        <v>Spring</v>
      </c>
      <c r="V215" t="str">
        <f>TEXT(mergedcleandataset[[#This Row],[date]],"dddd")</f>
        <v>Monday</v>
      </c>
      <c r="W2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6" spans="1:23" x14ac:dyDescent="0.25">
      <c r="A216">
        <v>215</v>
      </c>
      <c r="B216" s="1">
        <v>40553</v>
      </c>
      <c r="C216">
        <v>1</v>
      </c>
      <c r="D216" t="str">
        <f>TEXT(mergedcleandataset[[#This Row],[dteday]],"yyyy")</f>
        <v>2011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s="2">
        <f>DATE(mergedcleandataset[[#This Row],[yr]],mergedcleandataset[[#This Row],[mnth]],mergedcleandataset[[#This Row],[day]])</f>
        <v>40553</v>
      </c>
      <c r="R216">
        <f>DAY(mergedcleandataset[[#This Row],[dteday]])</f>
        <v>10</v>
      </c>
      <c r="S216" t="str">
        <f>IF(mergedcleandataset[[#This Row],[weekday]]&gt;=5,"Yes","No")</f>
        <v>No</v>
      </c>
      <c r="T216" t="b">
        <f>ISBLANK(mergedcleandataset[[#This Row],[atemp]])</f>
        <v>0</v>
      </c>
      <c r="U216" t="str">
        <f t="shared" si="3"/>
        <v>Spring</v>
      </c>
      <c r="V216" t="str">
        <f>TEXT(mergedcleandataset[[#This Row],[date]],"dddd")</f>
        <v>Monday</v>
      </c>
      <c r="W2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7" spans="1:23" x14ac:dyDescent="0.25">
      <c r="A217">
        <v>216</v>
      </c>
      <c r="B217" s="1">
        <v>40553</v>
      </c>
      <c r="C217">
        <v>1</v>
      </c>
      <c r="D217" t="str">
        <f>TEXT(mergedcleandataset[[#This Row],[dteday]],"yyyy")</f>
        <v>2011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s="2">
        <f>DATE(mergedcleandataset[[#This Row],[yr]],mergedcleandataset[[#This Row],[mnth]],mergedcleandataset[[#This Row],[day]])</f>
        <v>40553</v>
      </c>
      <c r="R217">
        <f>DAY(mergedcleandataset[[#This Row],[dteday]])</f>
        <v>10</v>
      </c>
      <c r="S217" t="str">
        <f>IF(mergedcleandataset[[#This Row],[weekday]]&gt;=5,"Yes","No")</f>
        <v>No</v>
      </c>
      <c r="T217" t="b">
        <f>ISBLANK(mergedcleandataset[[#This Row],[atemp]])</f>
        <v>0</v>
      </c>
      <c r="U217" t="str">
        <f t="shared" si="3"/>
        <v>Spring</v>
      </c>
      <c r="V217" t="str">
        <f>TEXT(mergedcleandataset[[#This Row],[date]],"dddd")</f>
        <v>Monday</v>
      </c>
      <c r="W2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8" spans="1:23" x14ac:dyDescent="0.25">
      <c r="A218">
        <v>217</v>
      </c>
      <c r="B218" s="1">
        <v>40553</v>
      </c>
      <c r="C218">
        <v>1</v>
      </c>
      <c r="D218" t="str">
        <f>TEXT(mergedcleandataset[[#This Row],[dteday]],"yyyy")</f>
        <v>2011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s="2">
        <f>DATE(mergedcleandataset[[#This Row],[yr]],mergedcleandataset[[#This Row],[mnth]],mergedcleandataset[[#This Row],[day]])</f>
        <v>40553</v>
      </c>
      <c r="R218">
        <f>DAY(mergedcleandataset[[#This Row],[dteday]])</f>
        <v>10</v>
      </c>
      <c r="S218" t="str">
        <f>IF(mergedcleandataset[[#This Row],[weekday]]&gt;=5,"Yes","No")</f>
        <v>No</v>
      </c>
      <c r="T218" t="b">
        <f>ISBLANK(mergedcleandataset[[#This Row],[atemp]])</f>
        <v>0</v>
      </c>
      <c r="U218" t="str">
        <f t="shared" si="3"/>
        <v>Spring</v>
      </c>
      <c r="V218" t="str">
        <f>TEXT(mergedcleandataset[[#This Row],[date]],"dddd")</f>
        <v>Monday</v>
      </c>
      <c r="W2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19" spans="1:23" x14ac:dyDescent="0.25">
      <c r="A219">
        <v>218</v>
      </c>
      <c r="B219" s="1">
        <v>40553</v>
      </c>
      <c r="C219">
        <v>1</v>
      </c>
      <c r="D219" t="str">
        <f>TEXT(mergedcleandataset[[#This Row],[dteday]],"yyyy")</f>
        <v>2011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s="2">
        <f>DATE(mergedcleandataset[[#This Row],[yr]],mergedcleandataset[[#This Row],[mnth]],mergedcleandataset[[#This Row],[day]])</f>
        <v>40553</v>
      </c>
      <c r="R219">
        <f>DAY(mergedcleandataset[[#This Row],[dteday]])</f>
        <v>10</v>
      </c>
      <c r="S219" t="str">
        <f>IF(mergedcleandataset[[#This Row],[weekday]]&gt;=5,"Yes","No")</f>
        <v>No</v>
      </c>
      <c r="T219" t="b">
        <f>ISBLANK(mergedcleandataset[[#This Row],[atemp]])</f>
        <v>0</v>
      </c>
      <c r="U219" t="str">
        <f t="shared" si="3"/>
        <v>Spring</v>
      </c>
      <c r="V219" t="str">
        <f>TEXT(mergedcleandataset[[#This Row],[date]],"dddd")</f>
        <v>Monday</v>
      </c>
      <c r="W21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0" spans="1:23" x14ac:dyDescent="0.25">
      <c r="A220">
        <v>219</v>
      </c>
      <c r="B220" s="1">
        <v>40553</v>
      </c>
      <c r="C220">
        <v>1</v>
      </c>
      <c r="D220" t="str">
        <f>TEXT(mergedcleandataset[[#This Row],[dteday]],"yyyy")</f>
        <v>2011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s="2">
        <f>DATE(mergedcleandataset[[#This Row],[yr]],mergedcleandataset[[#This Row],[mnth]],mergedcleandataset[[#This Row],[day]])</f>
        <v>40553</v>
      </c>
      <c r="R220">
        <f>DAY(mergedcleandataset[[#This Row],[dteday]])</f>
        <v>10</v>
      </c>
      <c r="S220" t="str">
        <f>IF(mergedcleandataset[[#This Row],[weekday]]&gt;=5,"Yes","No")</f>
        <v>No</v>
      </c>
      <c r="T220" t="b">
        <f>ISBLANK(mergedcleandataset[[#This Row],[atemp]])</f>
        <v>0</v>
      </c>
      <c r="U220" t="str">
        <f t="shared" si="3"/>
        <v>Spring</v>
      </c>
      <c r="V220" t="str">
        <f>TEXT(mergedcleandataset[[#This Row],[date]],"dddd")</f>
        <v>Monday</v>
      </c>
      <c r="W22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1" spans="1:23" x14ac:dyDescent="0.25">
      <c r="A221">
        <v>220</v>
      </c>
      <c r="B221" s="1">
        <v>40553</v>
      </c>
      <c r="C221">
        <v>1</v>
      </c>
      <c r="D221" t="str">
        <f>TEXT(mergedcleandataset[[#This Row],[dteday]],"yyyy")</f>
        <v>2011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s="2">
        <f>DATE(mergedcleandataset[[#This Row],[yr]],mergedcleandataset[[#This Row],[mnth]],mergedcleandataset[[#This Row],[day]])</f>
        <v>40553</v>
      </c>
      <c r="R221">
        <f>DAY(mergedcleandataset[[#This Row],[dteday]])</f>
        <v>10</v>
      </c>
      <c r="S221" t="str">
        <f>IF(mergedcleandataset[[#This Row],[weekday]]&gt;=5,"Yes","No")</f>
        <v>No</v>
      </c>
      <c r="T221" t="b">
        <f>ISBLANK(mergedcleandataset[[#This Row],[atemp]])</f>
        <v>0</v>
      </c>
      <c r="U221" t="str">
        <f t="shared" si="3"/>
        <v>Spring</v>
      </c>
      <c r="V221" t="str">
        <f>TEXT(mergedcleandataset[[#This Row],[date]],"dddd")</f>
        <v>Monday</v>
      </c>
      <c r="W22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2" spans="1:23" x14ac:dyDescent="0.25">
      <c r="A222">
        <v>221</v>
      </c>
      <c r="B222" s="1">
        <v>40553</v>
      </c>
      <c r="C222">
        <v>1</v>
      </c>
      <c r="D222" t="str">
        <f>TEXT(mergedcleandataset[[#This Row],[dteday]],"yyyy")</f>
        <v>2011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s="2">
        <f>DATE(mergedcleandataset[[#This Row],[yr]],mergedcleandataset[[#This Row],[mnth]],mergedcleandataset[[#This Row],[day]])</f>
        <v>40553</v>
      </c>
      <c r="R222">
        <f>DAY(mergedcleandataset[[#This Row],[dteday]])</f>
        <v>10</v>
      </c>
      <c r="S222" t="str">
        <f>IF(mergedcleandataset[[#This Row],[weekday]]&gt;=5,"Yes","No")</f>
        <v>No</v>
      </c>
      <c r="T222" t="b">
        <f>ISBLANK(mergedcleandataset[[#This Row],[atemp]])</f>
        <v>0</v>
      </c>
      <c r="U222" t="str">
        <f t="shared" si="3"/>
        <v>Spring</v>
      </c>
      <c r="V222" t="str">
        <f>TEXT(mergedcleandataset[[#This Row],[date]],"dddd")</f>
        <v>Monday</v>
      </c>
      <c r="W22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3" spans="1:23" x14ac:dyDescent="0.25">
      <c r="A223">
        <v>222</v>
      </c>
      <c r="B223" s="1">
        <v>40553</v>
      </c>
      <c r="C223">
        <v>1</v>
      </c>
      <c r="D223" t="str">
        <f>TEXT(mergedcleandataset[[#This Row],[dteday]],"yyyy")</f>
        <v>2011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s="2">
        <f>DATE(mergedcleandataset[[#This Row],[yr]],mergedcleandataset[[#This Row],[mnth]],mergedcleandataset[[#This Row],[day]])</f>
        <v>40553</v>
      </c>
      <c r="R223">
        <f>DAY(mergedcleandataset[[#This Row],[dteday]])</f>
        <v>10</v>
      </c>
      <c r="S223" t="str">
        <f>IF(mergedcleandataset[[#This Row],[weekday]]&gt;=5,"Yes","No")</f>
        <v>No</v>
      </c>
      <c r="T223" t="b">
        <f>ISBLANK(mergedcleandataset[[#This Row],[atemp]])</f>
        <v>0</v>
      </c>
      <c r="U223" t="str">
        <f t="shared" si="3"/>
        <v>Spring</v>
      </c>
      <c r="V223" t="str">
        <f>TEXT(mergedcleandataset[[#This Row],[date]],"dddd")</f>
        <v>Monday</v>
      </c>
      <c r="W22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4" spans="1:23" x14ac:dyDescent="0.25">
      <c r="A224">
        <v>223</v>
      </c>
      <c r="B224" s="1">
        <v>40553</v>
      </c>
      <c r="C224">
        <v>1</v>
      </c>
      <c r="D224" t="str">
        <f>TEXT(mergedcleandataset[[#This Row],[dteday]],"yyyy")</f>
        <v>2011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s="2">
        <f>DATE(mergedcleandataset[[#This Row],[yr]],mergedcleandataset[[#This Row],[mnth]],mergedcleandataset[[#This Row],[day]])</f>
        <v>40553</v>
      </c>
      <c r="R224">
        <f>DAY(mergedcleandataset[[#This Row],[dteday]])</f>
        <v>10</v>
      </c>
      <c r="S224" t="str">
        <f>IF(mergedcleandataset[[#This Row],[weekday]]&gt;=5,"Yes","No")</f>
        <v>No</v>
      </c>
      <c r="T224" t="b">
        <f>ISBLANK(mergedcleandataset[[#This Row],[atemp]])</f>
        <v>0</v>
      </c>
      <c r="U224" t="str">
        <f t="shared" si="3"/>
        <v>Spring</v>
      </c>
      <c r="V224" t="str">
        <f>TEXT(mergedcleandataset[[#This Row],[date]],"dddd")</f>
        <v>Monday</v>
      </c>
      <c r="W22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5" spans="1:23" x14ac:dyDescent="0.25">
      <c r="A225">
        <v>224</v>
      </c>
      <c r="B225" s="1">
        <v>40553</v>
      </c>
      <c r="C225">
        <v>1</v>
      </c>
      <c r="D225" t="str">
        <f>TEXT(mergedcleandataset[[#This Row],[dteday]],"yyyy")</f>
        <v>2011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s="2">
        <f>DATE(mergedcleandataset[[#This Row],[yr]],mergedcleandataset[[#This Row],[mnth]],mergedcleandataset[[#This Row],[day]])</f>
        <v>40553</v>
      </c>
      <c r="R225">
        <f>DAY(mergedcleandataset[[#This Row],[dteday]])</f>
        <v>10</v>
      </c>
      <c r="S225" t="str">
        <f>IF(mergedcleandataset[[#This Row],[weekday]]&gt;=5,"Yes","No")</f>
        <v>No</v>
      </c>
      <c r="T225" t="b">
        <f>ISBLANK(mergedcleandataset[[#This Row],[atemp]])</f>
        <v>0</v>
      </c>
      <c r="U225" t="str">
        <f t="shared" si="3"/>
        <v>Spring</v>
      </c>
      <c r="V225" t="str">
        <f>TEXT(mergedcleandataset[[#This Row],[date]],"dddd")</f>
        <v>Monday</v>
      </c>
      <c r="W22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6" spans="1:23" x14ac:dyDescent="0.25">
      <c r="A226">
        <v>225</v>
      </c>
      <c r="B226" s="1">
        <v>40553</v>
      </c>
      <c r="C226">
        <v>1</v>
      </c>
      <c r="D226" t="str">
        <f>TEXT(mergedcleandataset[[#This Row],[dteday]],"yyyy")</f>
        <v>2011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s="2">
        <f>DATE(mergedcleandataset[[#This Row],[yr]],mergedcleandataset[[#This Row],[mnth]],mergedcleandataset[[#This Row],[day]])</f>
        <v>40553</v>
      </c>
      <c r="R226">
        <f>DAY(mergedcleandataset[[#This Row],[dteday]])</f>
        <v>10</v>
      </c>
      <c r="S226" t="str">
        <f>IF(mergedcleandataset[[#This Row],[weekday]]&gt;=5,"Yes","No")</f>
        <v>No</v>
      </c>
      <c r="T226" t="b">
        <f>ISBLANK(mergedcleandataset[[#This Row],[atemp]])</f>
        <v>0</v>
      </c>
      <c r="U226" t="str">
        <f t="shared" si="3"/>
        <v>Spring</v>
      </c>
      <c r="V226" t="str">
        <f>TEXT(mergedcleandataset[[#This Row],[date]],"dddd")</f>
        <v>Monday</v>
      </c>
      <c r="W22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27" spans="1:23" x14ac:dyDescent="0.25">
      <c r="A227">
        <v>226</v>
      </c>
      <c r="B227" s="1">
        <v>40553</v>
      </c>
      <c r="C227">
        <v>1</v>
      </c>
      <c r="D227" t="str">
        <f>TEXT(mergedcleandataset[[#This Row],[dteday]],"yyyy")</f>
        <v>2011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s="2">
        <f>DATE(mergedcleandataset[[#This Row],[yr]],mergedcleandataset[[#This Row],[mnth]],mergedcleandataset[[#This Row],[day]])</f>
        <v>40553</v>
      </c>
      <c r="R227">
        <f>DAY(mergedcleandataset[[#This Row],[dteday]])</f>
        <v>10</v>
      </c>
      <c r="S227" t="str">
        <f>IF(mergedcleandataset[[#This Row],[weekday]]&gt;=5,"Yes","No")</f>
        <v>No</v>
      </c>
      <c r="T227" t="b">
        <f>ISBLANK(mergedcleandataset[[#This Row],[atemp]])</f>
        <v>0</v>
      </c>
      <c r="U227" t="str">
        <f t="shared" si="3"/>
        <v>Spring</v>
      </c>
      <c r="V227" t="str">
        <f>TEXT(mergedcleandataset[[#This Row],[date]],"dddd")</f>
        <v>Monday</v>
      </c>
      <c r="W2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28" spans="1:23" x14ac:dyDescent="0.25">
      <c r="A228">
        <v>227</v>
      </c>
      <c r="B228" s="1">
        <v>40553</v>
      </c>
      <c r="C228">
        <v>1</v>
      </c>
      <c r="D228" t="str">
        <f>TEXT(mergedcleandataset[[#This Row],[dteday]],"yyyy")</f>
        <v>2011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s="2">
        <f>DATE(mergedcleandataset[[#This Row],[yr]],mergedcleandataset[[#This Row],[mnth]],mergedcleandataset[[#This Row],[day]])</f>
        <v>40553</v>
      </c>
      <c r="R228">
        <f>DAY(mergedcleandataset[[#This Row],[dteday]])</f>
        <v>10</v>
      </c>
      <c r="S228" t="str">
        <f>IF(mergedcleandataset[[#This Row],[weekday]]&gt;=5,"Yes","No")</f>
        <v>No</v>
      </c>
      <c r="T228" t="b">
        <f>ISBLANK(mergedcleandataset[[#This Row],[atemp]])</f>
        <v>0</v>
      </c>
      <c r="U228" t="str">
        <f t="shared" si="3"/>
        <v>Spring</v>
      </c>
      <c r="V228" t="str">
        <f>TEXT(mergedcleandataset[[#This Row],[date]],"dddd")</f>
        <v>Monday</v>
      </c>
      <c r="W2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29" spans="1:23" x14ac:dyDescent="0.25">
      <c r="A229">
        <v>228</v>
      </c>
      <c r="B229" s="1">
        <v>40553</v>
      </c>
      <c r="C229">
        <v>1</v>
      </c>
      <c r="D229" t="str">
        <f>TEXT(mergedcleandataset[[#This Row],[dteday]],"yyyy")</f>
        <v>2011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s="2">
        <f>DATE(mergedcleandataset[[#This Row],[yr]],mergedcleandataset[[#This Row],[mnth]],mergedcleandataset[[#This Row],[day]])</f>
        <v>40553</v>
      </c>
      <c r="R229">
        <f>DAY(mergedcleandataset[[#This Row],[dteday]])</f>
        <v>10</v>
      </c>
      <c r="S229" t="str">
        <f>IF(mergedcleandataset[[#This Row],[weekday]]&gt;=5,"Yes","No")</f>
        <v>No</v>
      </c>
      <c r="T229" t="b">
        <f>ISBLANK(mergedcleandataset[[#This Row],[atemp]])</f>
        <v>0</v>
      </c>
      <c r="U229" t="str">
        <f t="shared" si="3"/>
        <v>Spring</v>
      </c>
      <c r="V229" t="str">
        <f>TEXT(mergedcleandataset[[#This Row],[date]],"dddd")</f>
        <v>Monday</v>
      </c>
      <c r="W2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0" spans="1:23" x14ac:dyDescent="0.25">
      <c r="A230">
        <v>229</v>
      </c>
      <c r="B230" s="1">
        <v>40553</v>
      </c>
      <c r="C230">
        <v>1</v>
      </c>
      <c r="D230" t="str">
        <f>TEXT(mergedcleandataset[[#This Row],[dteday]],"yyyy")</f>
        <v>2011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s="2">
        <f>DATE(mergedcleandataset[[#This Row],[yr]],mergedcleandataset[[#This Row],[mnth]],mergedcleandataset[[#This Row],[day]])</f>
        <v>40553</v>
      </c>
      <c r="R230">
        <f>DAY(mergedcleandataset[[#This Row],[dteday]])</f>
        <v>10</v>
      </c>
      <c r="S230" t="str">
        <f>IF(mergedcleandataset[[#This Row],[weekday]]&gt;=5,"Yes","No")</f>
        <v>No</v>
      </c>
      <c r="T230" t="b">
        <f>ISBLANK(mergedcleandataset[[#This Row],[atemp]])</f>
        <v>0</v>
      </c>
      <c r="U230" t="str">
        <f t="shared" si="3"/>
        <v>Spring</v>
      </c>
      <c r="V230" t="str">
        <f>TEXT(mergedcleandataset[[#This Row],[date]],"dddd")</f>
        <v>Monday</v>
      </c>
      <c r="W2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1" spans="1:23" x14ac:dyDescent="0.25">
      <c r="A231">
        <v>230</v>
      </c>
      <c r="B231" s="1">
        <v>40553</v>
      </c>
      <c r="C231">
        <v>1</v>
      </c>
      <c r="D231" t="str">
        <f>TEXT(mergedcleandataset[[#This Row],[dteday]],"yyyy")</f>
        <v>2011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s="2">
        <f>DATE(mergedcleandataset[[#This Row],[yr]],mergedcleandataset[[#This Row],[mnth]],mergedcleandataset[[#This Row],[day]])</f>
        <v>40553</v>
      </c>
      <c r="R231">
        <f>DAY(mergedcleandataset[[#This Row],[dteday]])</f>
        <v>10</v>
      </c>
      <c r="S231" t="str">
        <f>IF(mergedcleandataset[[#This Row],[weekday]]&gt;=5,"Yes","No")</f>
        <v>No</v>
      </c>
      <c r="T231" t="b">
        <f>ISBLANK(mergedcleandataset[[#This Row],[atemp]])</f>
        <v>0</v>
      </c>
      <c r="U231" t="str">
        <f t="shared" si="3"/>
        <v>Spring</v>
      </c>
      <c r="V231" t="str">
        <f>TEXT(mergedcleandataset[[#This Row],[date]],"dddd")</f>
        <v>Monday</v>
      </c>
      <c r="W2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2" spans="1:23" x14ac:dyDescent="0.25">
      <c r="A232">
        <v>231</v>
      </c>
      <c r="B232" s="1">
        <v>40553</v>
      </c>
      <c r="C232">
        <v>1</v>
      </c>
      <c r="D232" t="str">
        <f>TEXT(mergedcleandataset[[#This Row],[dteday]],"yyyy")</f>
        <v>2011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s="2">
        <f>DATE(mergedcleandataset[[#This Row],[yr]],mergedcleandataset[[#This Row],[mnth]],mergedcleandataset[[#This Row],[day]])</f>
        <v>40553</v>
      </c>
      <c r="R232">
        <f>DAY(mergedcleandataset[[#This Row],[dteday]])</f>
        <v>10</v>
      </c>
      <c r="S232" t="str">
        <f>IF(mergedcleandataset[[#This Row],[weekday]]&gt;=5,"Yes","No")</f>
        <v>No</v>
      </c>
      <c r="T232" t="b">
        <f>ISBLANK(mergedcleandataset[[#This Row],[atemp]])</f>
        <v>0</v>
      </c>
      <c r="U232" t="str">
        <f t="shared" si="3"/>
        <v>Spring</v>
      </c>
      <c r="V232" t="str">
        <f>TEXT(mergedcleandataset[[#This Row],[date]],"dddd")</f>
        <v>Monday</v>
      </c>
      <c r="W2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3" spans="1:23" x14ac:dyDescent="0.25">
      <c r="A233">
        <v>232</v>
      </c>
      <c r="B233" s="1">
        <v>40553</v>
      </c>
      <c r="C233">
        <v>1</v>
      </c>
      <c r="D233" t="str">
        <f>TEXT(mergedcleandataset[[#This Row],[dteday]],"yyyy")</f>
        <v>2011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s="2">
        <f>DATE(mergedcleandataset[[#This Row],[yr]],mergedcleandataset[[#This Row],[mnth]],mergedcleandataset[[#This Row],[day]])</f>
        <v>40553</v>
      </c>
      <c r="R233">
        <f>DAY(mergedcleandataset[[#This Row],[dteday]])</f>
        <v>10</v>
      </c>
      <c r="S233" t="str">
        <f>IF(mergedcleandataset[[#This Row],[weekday]]&gt;=5,"Yes","No")</f>
        <v>No</v>
      </c>
      <c r="T233" t="b">
        <f>ISBLANK(mergedcleandataset[[#This Row],[atemp]])</f>
        <v>0</v>
      </c>
      <c r="U233" t="str">
        <f t="shared" si="3"/>
        <v>Spring</v>
      </c>
      <c r="V233" t="str">
        <f>TEXT(mergedcleandataset[[#This Row],[date]],"dddd")</f>
        <v>Monday</v>
      </c>
      <c r="W2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4" spans="1:23" x14ac:dyDescent="0.25">
      <c r="A234">
        <v>233</v>
      </c>
      <c r="B234" s="1">
        <v>40553</v>
      </c>
      <c r="C234">
        <v>1</v>
      </c>
      <c r="D234" t="str">
        <f>TEXT(mergedcleandataset[[#This Row],[dteday]],"yyyy")</f>
        <v>2011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s="2">
        <f>DATE(mergedcleandataset[[#This Row],[yr]],mergedcleandataset[[#This Row],[mnth]],mergedcleandataset[[#This Row],[day]])</f>
        <v>40553</v>
      </c>
      <c r="R234">
        <f>DAY(mergedcleandataset[[#This Row],[dteday]])</f>
        <v>10</v>
      </c>
      <c r="S234" t="str">
        <f>IF(mergedcleandataset[[#This Row],[weekday]]&gt;=5,"Yes","No")</f>
        <v>No</v>
      </c>
      <c r="T234" t="b">
        <f>ISBLANK(mergedcleandataset[[#This Row],[atemp]])</f>
        <v>0</v>
      </c>
      <c r="U234" t="str">
        <f t="shared" si="3"/>
        <v>Spring</v>
      </c>
      <c r="V234" t="str">
        <f>TEXT(mergedcleandataset[[#This Row],[date]],"dddd")</f>
        <v>Monday</v>
      </c>
      <c r="W2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5" spans="1:23" x14ac:dyDescent="0.25">
      <c r="A235">
        <v>234</v>
      </c>
      <c r="B235" s="1">
        <v>40554</v>
      </c>
      <c r="C235">
        <v>1</v>
      </c>
      <c r="D235" t="str">
        <f>TEXT(mergedcleandataset[[#This Row],[dteday]],"yyyy")</f>
        <v>2011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s="2">
        <f>DATE(mergedcleandataset[[#This Row],[yr]],mergedcleandataset[[#This Row],[mnth]],mergedcleandataset[[#This Row],[day]])</f>
        <v>40554</v>
      </c>
      <c r="R235">
        <f>DAY(mergedcleandataset[[#This Row],[dteday]])</f>
        <v>11</v>
      </c>
      <c r="S235" t="str">
        <f>IF(mergedcleandataset[[#This Row],[weekday]]&gt;=5,"Yes","No")</f>
        <v>No</v>
      </c>
      <c r="T235" t="b">
        <f>ISBLANK(mergedcleandataset[[#This Row],[atemp]])</f>
        <v>0</v>
      </c>
      <c r="U235" t="str">
        <f t="shared" si="3"/>
        <v>Spring</v>
      </c>
      <c r="V235" t="str">
        <f>TEXT(mergedcleandataset[[#This Row],[date]],"dddd")</f>
        <v>Tuesday</v>
      </c>
      <c r="W2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6" spans="1:23" x14ac:dyDescent="0.25">
      <c r="A236">
        <v>235</v>
      </c>
      <c r="B236" s="1">
        <v>40554</v>
      </c>
      <c r="C236">
        <v>1</v>
      </c>
      <c r="D236" t="str">
        <f>TEXT(mergedcleandataset[[#This Row],[dteday]],"yyyy")</f>
        <v>2011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s="2">
        <f>DATE(mergedcleandataset[[#This Row],[yr]],mergedcleandataset[[#This Row],[mnth]],mergedcleandataset[[#This Row],[day]])</f>
        <v>40554</v>
      </c>
      <c r="R236">
        <f>DAY(mergedcleandataset[[#This Row],[dteday]])</f>
        <v>11</v>
      </c>
      <c r="S236" t="str">
        <f>IF(mergedcleandataset[[#This Row],[weekday]]&gt;=5,"Yes","No")</f>
        <v>No</v>
      </c>
      <c r="T236" t="b">
        <f>ISBLANK(mergedcleandataset[[#This Row],[atemp]])</f>
        <v>0</v>
      </c>
      <c r="U236" t="str">
        <f t="shared" si="3"/>
        <v>Spring</v>
      </c>
      <c r="V236" t="str">
        <f>TEXT(mergedcleandataset[[#This Row],[date]],"dddd")</f>
        <v>Tuesday</v>
      </c>
      <c r="W2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37" spans="1:23" x14ac:dyDescent="0.25">
      <c r="A237">
        <v>236</v>
      </c>
      <c r="B237" s="1">
        <v>40554</v>
      </c>
      <c r="C237">
        <v>1</v>
      </c>
      <c r="D237" t="str">
        <f>TEXT(mergedcleandataset[[#This Row],[dteday]],"yyyy")</f>
        <v>2011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s="2">
        <f>DATE(mergedcleandataset[[#This Row],[yr]],mergedcleandataset[[#This Row],[mnth]],mergedcleandataset[[#This Row],[day]])</f>
        <v>40554</v>
      </c>
      <c r="R237">
        <f>DAY(mergedcleandataset[[#This Row],[dteday]])</f>
        <v>11</v>
      </c>
      <c r="S237" t="str">
        <f>IF(mergedcleandataset[[#This Row],[weekday]]&gt;=5,"Yes","No")</f>
        <v>No</v>
      </c>
      <c r="T237" t="b">
        <f>ISBLANK(mergedcleandataset[[#This Row],[atemp]])</f>
        <v>0</v>
      </c>
      <c r="U237" t="str">
        <f t="shared" si="3"/>
        <v>Spring</v>
      </c>
      <c r="V237" t="str">
        <f>TEXT(mergedcleandataset[[#This Row],[date]],"dddd")</f>
        <v>Tuesday</v>
      </c>
      <c r="W23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38" spans="1:23" x14ac:dyDescent="0.25">
      <c r="A238">
        <v>237</v>
      </c>
      <c r="B238" s="1">
        <v>40554</v>
      </c>
      <c r="C238">
        <v>1</v>
      </c>
      <c r="D238" t="str">
        <f>TEXT(mergedcleandataset[[#This Row],[dteday]],"yyyy")</f>
        <v>2011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s="2">
        <f>DATE(mergedcleandataset[[#This Row],[yr]],mergedcleandataset[[#This Row],[mnth]],mergedcleandataset[[#This Row],[day]])</f>
        <v>40554</v>
      </c>
      <c r="R238">
        <f>DAY(mergedcleandataset[[#This Row],[dteday]])</f>
        <v>11</v>
      </c>
      <c r="S238" t="str">
        <f>IF(mergedcleandataset[[#This Row],[weekday]]&gt;=5,"Yes","No")</f>
        <v>No</v>
      </c>
      <c r="T238" t="b">
        <f>ISBLANK(mergedcleandataset[[#This Row],[atemp]])</f>
        <v>0</v>
      </c>
      <c r="U238" t="str">
        <f t="shared" si="3"/>
        <v>Spring</v>
      </c>
      <c r="V238" t="str">
        <f>TEXT(mergedcleandataset[[#This Row],[date]],"dddd")</f>
        <v>Tuesday</v>
      </c>
      <c r="W23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39" spans="1:23" x14ac:dyDescent="0.25">
      <c r="A239">
        <v>238</v>
      </c>
      <c r="B239" s="1">
        <v>40554</v>
      </c>
      <c r="C239">
        <v>1</v>
      </c>
      <c r="D239" t="str">
        <f>TEXT(mergedcleandataset[[#This Row],[dteday]],"yyyy")</f>
        <v>2011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s="2">
        <f>DATE(mergedcleandataset[[#This Row],[yr]],mergedcleandataset[[#This Row],[mnth]],mergedcleandataset[[#This Row],[day]])</f>
        <v>40554</v>
      </c>
      <c r="R239">
        <f>DAY(mergedcleandataset[[#This Row],[dteday]])</f>
        <v>11</v>
      </c>
      <c r="S239" t="str">
        <f>IF(mergedcleandataset[[#This Row],[weekday]]&gt;=5,"Yes","No")</f>
        <v>No</v>
      </c>
      <c r="T239" t="b">
        <f>ISBLANK(mergedcleandataset[[#This Row],[atemp]])</f>
        <v>0</v>
      </c>
      <c r="U239" t="str">
        <f t="shared" si="3"/>
        <v>Spring</v>
      </c>
      <c r="V239" t="str">
        <f>TEXT(mergedcleandataset[[#This Row],[date]],"dddd")</f>
        <v>Tuesday</v>
      </c>
      <c r="W23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0" spans="1:23" x14ac:dyDescent="0.25">
      <c r="A240">
        <v>239</v>
      </c>
      <c r="B240" s="1">
        <v>40554</v>
      </c>
      <c r="C240">
        <v>1</v>
      </c>
      <c r="D240" t="str">
        <f>TEXT(mergedcleandataset[[#This Row],[dteday]],"yyyy")</f>
        <v>2011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s="2">
        <f>DATE(mergedcleandataset[[#This Row],[yr]],mergedcleandataset[[#This Row],[mnth]],mergedcleandataset[[#This Row],[day]])</f>
        <v>40554</v>
      </c>
      <c r="R240">
        <f>DAY(mergedcleandataset[[#This Row],[dteday]])</f>
        <v>11</v>
      </c>
      <c r="S240" t="str">
        <f>IF(mergedcleandataset[[#This Row],[weekday]]&gt;=5,"Yes","No")</f>
        <v>No</v>
      </c>
      <c r="T240" t="b">
        <f>ISBLANK(mergedcleandataset[[#This Row],[atemp]])</f>
        <v>0</v>
      </c>
      <c r="U240" t="str">
        <f t="shared" si="3"/>
        <v>Spring</v>
      </c>
      <c r="V240" t="str">
        <f>TEXT(mergedcleandataset[[#This Row],[date]],"dddd")</f>
        <v>Tuesday</v>
      </c>
      <c r="W24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1" spans="1:23" x14ac:dyDescent="0.25">
      <c r="A241">
        <v>240</v>
      </c>
      <c r="B241" s="1">
        <v>40554</v>
      </c>
      <c r="C241">
        <v>1</v>
      </c>
      <c r="D241" t="str">
        <f>TEXT(mergedcleandataset[[#This Row],[dteday]],"yyyy")</f>
        <v>2011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s="2">
        <f>DATE(mergedcleandataset[[#This Row],[yr]],mergedcleandataset[[#This Row],[mnth]],mergedcleandataset[[#This Row],[day]])</f>
        <v>40554</v>
      </c>
      <c r="R241">
        <f>DAY(mergedcleandataset[[#This Row],[dteday]])</f>
        <v>11</v>
      </c>
      <c r="S241" t="str">
        <f>IF(mergedcleandataset[[#This Row],[weekday]]&gt;=5,"Yes","No")</f>
        <v>No</v>
      </c>
      <c r="T241" t="b">
        <f>ISBLANK(mergedcleandataset[[#This Row],[atemp]])</f>
        <v>0</v>
      </c>
      <c r="U241" t="str">
        <f t="shared" si="3"/>
        <v>Spring</v>
      </c>
      <c r="V241" t="str">
        <f>TEXT(mergedcleandataset[[#This Row],[date]],"dddd")</f>
        <v>Tuesday</v>
      </c>
      <c r="W24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2" spans="1:23" x14ac:dyDescent="0.25">
      <c r="A242">
        <v>241</v>
      </c>
      <c r="B242" s="1">
        <v>40554</v>
      </c>
      <c r="C242">
        <v>1</v>
      </c>
      <c r="D242" t="str">
        <f>TEXT(mergedcleandataset[[#This Row],[dteday]],"yyyy")</f>
        <v>2011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s="2">
        <f>DATE(mergedcleandataset[[#This Row],[yr]],mergedcleandataset[[#This Row],[mnth]],mergedcleandataset[[#This Row],[day]])</f>
        <v>40554</v>
      </c>
      <c r="R242">
        <f>DAY(mergedcleandataset[[#This Row],[dteday]])</f>
        <v>11</v>
      </c>
      <c r="S242" t="str">
        <f>IF(mergedcleandataset[[#This Row],[weekday]]&gt;=5,"Yes","No")</f>
        <v>No</v>
      </c>
      <c r="T242" t="b">
        <f>ISBLANK(mergedcleandataset[[#This Row],[atemp]])</f>
        <v>0</v>
      </c>
      <c r="U242" t="str">
        <f t="shared" si="3"/>
        <v>Spring</v>
      </c>
      <c r="V242" t="str">
        <f>TEXT(mergedcleandataset[[#This Row],[date]],"dddd")</f>
        <v>Tuesday</v>
      </c>
      <c r="W24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3" spans="1:23" x14ac:dyDescent="0.25">
      <c r="A243">
        <v>242</v>
      </c>
      <c r="B243" s="1">
        <v>40554</v>
      </c>
      <c r="C243">
        <v>1</v>
      </c>
      <c r="D243" t="str">
        <f>TEXT(mergedcleandataset[[#This Row],[dteday]],"yyyy")</f>
        <v>2011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s="2">
        <f>DATE(mergedcleandataset[[#This Row],[yr]],mergedcleandataset[[#This Row],[mnth]],mergedcleandataset[[#This Row],[day]])</f>
        <v>40554</v>
      </c>
      <c r="R243">
        <f>DAY(mergedcleandataset[[#This Row],[dteday]])</f>
        <v>11</v>
      </c>
      <c r="S243" t="str">
        <f>IF(mergedcleandataset[[#This Row],[weekday]]&gt;=5,"Yes","No")</f>
        <v>No</v>
      </c>
      <c r="T243" t="b">
        <f>ISBLANK(mergedcleandataset[[#This Row],[atemp]])</f>
        <v>0</v>
      </c>
      <c r="U243" t="str">
        <f t="shared" si="3"/>
        <v>Spring</v>
      </c>
      <c r="V243" t="str">
        <f>TEXT(mergedcleandataset[[#This Row],[date]],"dddd")</f>
        <v>Tuesday</v>
      </c>
      <c r="W24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4" spans="1:23" x14ac:dyDescent="0.25">
      <c r="A244">
        <v>243</v>
      </c>
      <c r="B244" s="1">
        <v>40554</v>
      </c>
      <c r="C244">
        <v>1</v>
      </c>
      <c r="D244" t="str">
        <f>TEXT(mergedcleandataset[[#This Row],[dteday]],"yyyy")</f>
        <v>2011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s="2">
        <f>DATE(mergedcleandataset[[#This Row],[yr]],mergedcleandataset[[#This Row],[mnth]],mergedcleandataset[[#This Row],[day]])</f>
        <v>40554</v>
      </c>
      <c r="R244">
        <f>DAY(mergedcleandataset[[#This Row],[dteday]])</f>
        <v>11</v>
      </c>
      <c r="S244" t="str">
        <f>IF(mergedcleandataset[[#This Row],[weekday]]&gt;=5,"Yes","No")</f>
        <v>No</v>
      </c>
      <c r="T244" t="b">
        <f>ISBLANK(mergedcleandataset[[#This Row],[atemp]])</f>
        <v>0</v>
      </c>
      <c r="U244" t="str">
        <f t="shared" si="3"/>
        <v>Spring</v>
      </c>
      <c r="V244" t="str">
        <f>TEXT(mergedcleandataset[[#This Row],[date]],"dddd")</f>
        <v>Tuesday</v>
      </c>
      <c r="W24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5" spans="1:23" x14ac:dyDescent="0.25">
      <c r="A245">
        <v>244</v>
      </c>
      <c r="B245" s="1">
        <v>40554</v>
      </c>
      <c r="C245">
        <v>1</v>
      </c>
      <c r="D245" t="str">
        <f>TEXT(mergedcleandataset[[#This Row],[dteday]],"yyyy")</f>
        <v>2011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s="2">
        <f>DATE(mergedcleandataset[[#This Row],[yr]],mergedcleandataset[[#This Row],[mnth]],mergedcleandataset[[#This Row],[day]])</f>
        <v>40554</v>
      </c>
      <c r="R245">
        <f>DAY(mergedcleandataset[[#This Row],[dteday]])</f>
        <v>11</v>
      </c>
      <c r="S245" t="str">
        <f>IF(mergedcleandataset[[#This Row],[weekday]]&gt;=5,"Yes","No")</f>
        <v>No</v>
      </c>
      <c r="T245" t="b">
        <f>ISBLANK(mergedcleandataset[[#This Row],[atemp]])</f>
        <v>0</v>
      </c>
      <c r="U245" t="str">
        <f t="shared" si="3"/>
        <v>Spring</v>
      </c>
      <c r="V245" t="str">
        <f>TEXT(mergedcleandataset[[#This Row],[date]],"dddd")</f>
        <v>Tuesday</v>
      </c>
      <c r="W24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6" spans="1:23" x14ac:dyDescent="0.25">
      <c r="A246">
        <v>245</v>
      </c>
      <c r="B246" s="1">
        <v>40554</v>
      </c>
      <c r="C246">
        <v>1</v>
      </c>
      <c r="D246" t="str">
        <f>TEXT(mergedcleandataset[[#This Row],[dteday]],"yyyy")</f>
        <v>2011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s="2">
        <f>DATE(mergedcleandataset[[#This Row],[yr]],mergedcleandataset[[#This Row],[mnth]],mergedcleandataset[[#This Row],[day]])</f>
        <v>40554</v>
      </c>
      <c r="R246">
        <f>DAY(mergedcleandataset[[#This Row],[dteday]])</f>
        <v>11</v>
      </c>
      <c r="S246" t="str">
        <f>IF(mergedcleandataset[[#This Row],[weekday]]&gt;=5,"Yes","No")</f>
        <v>No</v>
      </c>
      <c r="T246" t="b">
        <f>ISBLANK(mergedcleandataset[[#This Row],[atemp]])</f>
        <v>0</v>
      </c>
      <c r="U246" t="str">
        <f t="shared" si="3"/>
        <v>Spring</v>
      </c>
      <c r="V246" t="str">
        <f>TEXT(mergedcleandataset[[#This Row],[date]],"dddd")</f>
        <v>Tuesday</v>
      </c>
      <c r="W24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7" spans="1:23" x14ac:dyDescent="0.25">
      <c r="A247">
        <v>246</v>
      </c>
      <c r="B247" s="1">
        <v>40554</v>
      </c>
      <c r="C247">
        <v>1</v>
      </c>
      <c r="D247" t="str">
        <f>TEXT(mergedcleandataset[[#This Row],[dteday]],"yyyy")</f>
        <v>2011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s="2">
        <f>DATE(mergedcleandataset[[#This Row],[yr]],mergedcleandataset[[#This Row],[mnth]],mergedcleandataset[[#This Row],[day]])</f>
        <v>40554</v>
      </c>
      <c r="R247">
        <f>DAY(mergedcleandataset[[#This Row],[dteday]])</f>
        <v>11</v>
      </c>
      <c r="S247" t="str">
        <f>IF(mergedcleandataset[[#This Row],[weekday]]&gt;=5,"Yes","No")</f>
        <v>No</v>
      </c>
      <c r="T247" t="b">
        <f>ISBLANK(mergedcleandataset[[#This Row],[atemp]])</f>
        <v>0</v>
      </c>
      <c r="U247" t="str">
        <f t="shared" si="3"/>
        <v>Spring</v>
      </c>
      <c r="V247" t="str">
        <f>TEXT(mergedcleandataset[[#This Row],[date]],"dddd")</f>
        <v>Tuesday</v>
      </c>
      <c r="W24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8" spans="1:23" x14ac:dyDescent="0.25">
      <c r="A248">
        <v>247</v>
      </c>
      <c r="B248" s="1">
        <v>40554</v>
      </c>
      <c r="C248">
        <v>1</v>
      </c>
      <c r="D248" t="str">
        <f>TEXT(mergedcleandataset[[#This Row],[dteday]],"yyyy")</f>
        <v>2011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s="2">
        <f>DATE(mergedcleandataset[[#This Row],[yr]],mergedcleandataset[[#This Row],[mnth]],mergedcleandataset[[#This Row],[day]])</f>
        <v>40554</v>
      </c>
      <c r="R248">
        <f>DAY(mergedcleandataset[[#This Row],[dteday]])</f>
        <v>11</v>
      </c>
      <c r="S248" t="str">
        <f>IF(mergedcleandataset[[#This Row],[weekday]]&gt;=5,"Yes","No")</f>
        <v>No</v>
      </c>
      <c r="T248" t="b">
        <f>ISBLANK(mergedcleandataset[[#This Row],[atemp]])</f>
        <v>0</v>
      </c>
      <c r="U248" t="str">
        <f t="shared" si="3"/>
        <v>Spring</v>
      </c>
      <c r="V248" t="str">
        <f>TEXT(mergedcleandataset[[#This Row],[date]],"dddd")</f>
        <v>Tuesday</v>
      </c>
      <c r="W24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49" spans="1:23" x14ac:dyDescent="0.25">
      <c r="A249">
        <v>248</v>
      </c>
      <c r="B249" s="1">
        <v>40554</v>
      </c>
      <c r="C249">
        <v>1</v>
      </c>
      <c r="D249" t="str">
        <f>TEXT(mergedcleandataset[[#This Row],[dteday]],"yyyy")</f>
        <v>2011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s="2">
        <f>DATE(mergedcleandataset[[#This Row],[yr]],mergedcleandataset[[#This Row],[mnth]],mergedcleandataset[[#This Row],[day]])</f>
        <v>40554</v>
      </c>
      <c r="R249">
        <f>DAY(mergedcleandataset[[#This Row],[dteday]])</f>
        <v>11</v>
      </c>
      <c r="S249" t="str">
        <f>IF(mergedcleandataset[[#This Row],[weekday]]&gt;=5,"Yes","No")</f>
        <v>No</v>
      </c>
      <c r="T249" t="b">
        <f>ISBLANK(mergedcleandataset[[#This Row],[atemp]])</f>
        <v>0</v>
      </c>
      <c r="U249" t="str">
        <f t="shared" si="3"/>
        <v>Spring</v>
      </c>
      <c r="V249" t="str">
        <f>TEXT(mergedcleandataset[[#This Row],[date]],"dddd")</f>
        <v>Tuesday</v>
      </c>
      <c r="W24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50" spans="1:23" x14ac:dyDescent="0.25">
      <c r="A250">
        <v>249</v>
      </c>
      <c r="B250" s="1">
        <v>40554</v>
      </c>
      <c r="C250">
        <v>1</v>
      </c>
      <c r="D250" t="str">
        <f>TEXT(mergedcleandataset[[#This Row],[dteday]],"yyyy")</f>
        <v>2011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s="2">
        <f>DATE(mergedcleandataset[[#This Row],[yr]],mergedcleandataset[[#This Row],[mnth]],mergedcleandataset[[#This Row],[day]])</f>
        <v>40554</v>
      </c>
      <c r="R250">
        <f>DAY(mergedcleandataset[[#This Row],[dteday]])</f>
        <v>11</v>
      </c>
      <c r="S250" t="str">
        <f>IF(mergedcleandataset[[#This Row],[weekday]]&gt;=5,"Yes","No")</f>
        <v>No</v>
      </c>
      <c r="T250" t="b">
        <f>ISBLANK(mergedcleandataset[[#This Row],[atemp]])</f>
        <v>0</v>
      </c>
      <c r="U250" t="str">
        <f t="shared" si="3"/>
        <v>Spring</v>
      </c>
      <c r="V250" t="str">
        <f>TEXT(mergedcleandataset[[#This Row],[date]],"dddd")</f>
        <v>Tuesday</v>
      </c>
      <c r="W25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51" spans="1:23" x14ac:dyDescent="0.25">
      <c r="A251">
        <v>250</v>
      </c>
      <c r="B251" s="1">
        <v>40554</v>
      </c>
      <c r="C251">
        <v>1</v>
      </c>
      <c r="D251" t="str">
        <f>TEXT(mergedcleandataset[[#This Row],[dteday]],"yyyy")</f>
        <v>2011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s="2">
        <f>DATE(mergedcleandataset[[#This Row],[yr]],mergedcleandataset[[#This Row],[mnth]],mergedcleandataset[[#This Row],[day]])</f>
        <v>40554</v>
      </c>
      <c r="R251">
        <f>DAY(mergedcleandataset[[#This Row],[dteday]])</f>
        <v>11</v>
      </c>
      <c r="S251" t="str">
        <f>IF(mergedcleandataset[[#This Row],[weekday]]&gt;=5,"Yes","No")</f>
        <v>No</v>
      </c>
      <c r="T251" t="b">
        <f>ISBLANK(mergedcleandataset[[#This Row],[atemp]])</f>
        <v>0</v>
      </c>
      <c r="U251" t="str">
        <f t="shared" si="3"/>
        <v>Spring</v>
      </c>
      <c r="V251" t="str">
        <f>TEXT(mergedcleandataset[[#This Row],[date]],"dddd")</f>
        <v>Tuesday</v>
      </c>
      <c r="W25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52" spans="1:23" x14ac:dyDescent="0.25">
      <c r="A252">
        <v>251</v>
      </c>
      <c r="B252" s="1">
        <v>40554</v>
      </c>
      <c r="C252">
        <v>1</v>
      </c>
      <c r="D252" t="str">
        <f>TEXT(mergedcleandataset[[#This Row],[dteday]],"yyyy")</f>
        <v>2011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s="2">
        <f>DATE(mergedcleandataset[[#This Row],[yr]],mergedcleandataset[[#This Row],[mnth]],mergedcleandataset[[#This Row],[day]])</f>
        <v>40554</v>
      </c>
      <c r="R252">
        <f>DAY(mergedcleandataset[[#This Row],[dteday]])</f>
        <v>11</v>
      </c>
      <c r="S252" t="str">
        <f>IF(mergedcleandataset[[#This Row],[weekday]]&gt;=5,"Yes","No")</f>
        <v>No</v>
      </c>
      <c r="T252" t="b">
        <f>ISBLANK(mergedcleandataset[[#This Row],[atemp]])</f>
        <v>0</v>
      </c>
      <c r="U252" t="str">
        <f t="shared" si="3"/>
        <v>Spring</v>
      </c>
      <c r="V252" t="str">
        <f>TEXT(mergedcleandataset[[#This Row],[date]],"dddd")</f>
        <v>Tuesday</v>
      </c>
      <c r="W25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53" spans="1:23" x14ac:dyDescent="0.25">
      <c r="A253">
        <v>252</v>
      </c>
      <c r="B253" s="1">
        <v>40554</v>
      </c>
      <c r="C253">
        <v>1</v>
      </c>
      <c r="D253" t="str">
        <f>TEXT(mergedcleandataset[[#This Row],[dteday]],"yyyy")</f>
        <v>2011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s="2">
        <f>DATE(mergedcleandataset[[#This Row],[yr]],mergedcleandataset[[#This Row],[mnth]],mergedcleandataset[[#This Row],[day]])</f>
        <v>40554</v>
      </c>
      <c r="R253">
        <f>DAY(mergedcleandataset[[#This Row],[dteday]])</f>
        <v>11</v>
      </c>
      <c r="S253" t="str">
        <f>IF(mergedcleandataset[[#This Row],[weekday]]&gt;=5,"Yes","No")</f>
        <v>No</v>
      </c>
      <c r="T253" t="b">
        <f>ISBLANK(mergedcleandataset[[#This Row],[atemp]])</f>
        <v>0</v>
      </c>
      <c r="U253" t="str">
        <f t="shared" si="3"/>
        <v>Spring</v>
      </c>
      <c r="V253" t="str">
        <f>TEXT(mergedcleandataset[[#This Row],[date]],"dddd")</f>
        <v>Tuesday</v>
      </c>
      <c r="W25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54" spans="1:23" x14ac:dyDescent="0.25">
      <c r="A254">
        <v>253</v>
      </c>
      <c r="B254" s="1">
        <v>40554</v>
      </c>
      <c r="C254">
        <v>1</v>
      </c>
      <c r="D254" t="str">
        <f>TEXT(mergedcleandataset[[#This Row],[dteday]],"yyyy")</f>
        <v>2011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s="2">
        <f>DATE(mergedcleandataset[[#This Row],[yr]],mergedcleandataset[[#This Row],[mnth]],mergedcleandataset[[#This Row],[day]])</f>
        <v>40554</v>
      </c>
      <c r="R254">
        <f>DAY(mergedcleandataset[[#This Row],[dteday]])</f>
        <v>11</v>
      </c>
      <c r="S254" t="str">
        <f>IF(mergedcleandataset[[#This Row],[weekday]]&gt;=5,"Yes","No")</f>
        <v>No</v>
      </c>
      <c r="T254" t="b">
        <f>ISBLANK(mergedcleandataset[[#This Row],[atemp]])</f>
        <v>0</v>
      </c>
      <c r="U254" t="str">
        <f t="shared" si="3"/>
        <v>Spring</v>
      </c>
      <c r="V254" t="str">
        <f>TEXT(mergedcleandataset[[#This Row],[date]],"dddd")</f>
        <v>Tuesday</v>
      </c>
      <c r="W25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55" spans="1:23" x14ac:dyDescent="0.25">
      <c r="A255">
        <v>254</v>
      </c>
      <c r="B255" s="1">
        <v>40554</v>
      </c>
      <c r="C255">
        <v>1</v>
      </c>
      <c r="D255" t="str">
        <f>TEXT(mergedcleandataset[[#This Row],[dteday]],"yyyy")</f>
        <v>2011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s="2">
        <f>DATE(mergedcleandataset[[#This Row],[yr]],mergedcleandataset[[#This Row],[mnth]],mergedcleandataset[[#This Row],[day]])</f>
        <v>40554</v>
      </c>
      <c r="R255">
        <f>DAY(mergedcleandataset[[#This Row],[dteday]])</f>
        <v>11</v>
      </c>
      <c r="S255" t="str">
        <f>IF(mergedcleandataset[[#This Row],[weekday]]&gt;=5,"Yes","No")</f>
        <v>No</v>
      </c>
      <c r="T255" t="b">
        <f>ISBLANK(mergedcleandataset[[#This Row],[atemp]])</f>
        <v>0</v>
      </c>
      <c r="U255" t="str">
        <f t="shared" si="3"/>
        <v>Spring</v>
      </c>
      <c r="V255" t="str">
        <f>TEXT(mergedcleandataset[[#This Row],[date]],"dddd")</f>
        <v>Tuesday</v>
      </c>
      <c r="W25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56" spans="1:23" x14ac:dyDescent="0.25">
      <c r="A256">
        <v>255</v>
      </c>
      <c r="B256" s="1">
        <v>40554</v>
      </c>
      <c r="C256">
        <v>1</v>
      </c>
      <c r="D256" t="str">
        <f>TEXT(mergedcleandataset[[#This Row],[dteday]],"yyyy")</f>
        <v>2011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s="2">
        <f>DATE(mergedcleandataset[[#This Row],[yr]],mergedcleandataset[[#This Row],[mnth]],mergedcleandataset[[#This Row],[day]])</f>
        <v>40554</v>
      </c>
      <c r="R256">
        <f>DAY(mergedcleandataset[[#This Row],[dteday]])</f>
        <v>11</v>
      </c>
      <c r="S256" t="str">
        <f>IF(mergedcleandataset[[#This Row],[weekday]]&gt;=5,"Yes","No")</f>
        <v>No</v>
      </c>
      <c r="T256" t="b">
        <f>ISBLANK(mergedcleandataset[[#This Row],[atemp]])</f>
        <v>0</v>
      </c>
      <c r="U256" t="str">
        <f t="shared" si="3"/>
        <v>Spring</v>
      </c>
      <c r="V256" t="str">
        <f>TEXT(mergedcleandataset[[#This Row],[date]],"dddd")</f>
        <v>Tuesday</v>
      </c>
      <c r="W25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257" spans="1:23" x14ac:dyDescent="0.25">
      <c r="A257">
        <v>256</v>
      </c>
      <c r="B257" s="1">
        <v>40555</v>
      </c>
      <c r="C257">
        <v>1</v>
      </c>
      <c r="D257" t="str">
        <f>TEXT(mergedcleandataset[[#This Row],[dteday]],"yyyy")</f>
        <v>2011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s="2">
        <f>DATE(mergedcleandataset[[#This Row],[yr]],mergedcleandataset[[#This Row],[mnth]],mergedcleandataset[[#This Row],[day]])</f>
        <v>40555</v>
      </c>
      <c r="R257">
        <f>DAY(mergedcleandataset[[#This Row],[dteday]])</f>
        <v>12</v>
      </c>
      <c r="S257" t="str">
        <f>IF(mergedcleandataset[[#This Row],[weekday]]&gt;=5,"Yes","No")</f>
        <v>No</v>
      </c>
      <c r="T257" t="b">
        <f>ISBLANK(mergedcleandataset[[#This Row],[atemp]])</f>
        <v>0</v>
      </c>
      <c r="U257" t="str">
        <f t="shared" si="3"/>
        <v>Spring</v>
      </c>
      <c r="V257" t="str">
        <f>TEXT(mergedcleandataset[[#This Row],[date]],"dddd")</f>
        <v>Wednesday</v>
      </c>
      <c r="W25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58" spans="1:23" x14ac:dyDescent="0.25">
      <c r="A258">
        <v>257</v>
      </c>
      <c r="B258" s="1">
        <v>40555</v>
      </c>
      <c r="C258">
        <v>1</v>
      </c>
      <c r="D258" t="str">
        <f>TEXT(mergedcleandataset[[#This Row],[dteday]],"yyyy")</f>
        <v>2011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s="2">
        <f>DATE(mergedcleandataset[[#This Row],[yr]],mergedcleandataset[[#This Row],[mnth]],mergedcleandataset[[#This Row],[day]])</f>
        <v>40555</v>
      </c>
      <c r="R258">
        <f>DAY(mergedcleandataset[[#This Row],[dteday]])</f>
        <v>12</v>
      </c>
      <c r="S258" t="str">
        <f>IF(mergedcleandataset[[#This Row],[weekday]]&gt;=5,"Yes","No")</f>
        <v>No</v>
      </c>
      <c r="T258" t="b">
        <f>ISBLANK(mergedcleandataset[[#This Row],[atemp]])</f>
        <v>0</v>
      </c>
      <c r="U258" t="str">
        <f t="shared" ref="U258:U321" si="4">IF(C258=1,"Spring",
IF(C258=2,"Summer",
IF(C258=3,"Fall",
IF(C258=4,"Winter","Unknown"))))</f>
        <v>Spring</v>
      </c>
      <c r="V258" t="str">
        <f>TEXT(mergedcleandataset[[#This Row],[date]],"dddd")</f>
        <v>Wednesday</v>
      </c>
      <c r="W25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59" spans="1:23" x14ac:dyDescent="0.25">
      <c r="A259">
        <v>258</v>
      </c>
      <c r="B259" s="1">
        <v>40555</v>
      </c>
      <c r="C259">
        <v>1</v>
      </c>
      <c r="D259" t="str">
        <f>TEXT(mergedcleandataset[[#This Row],[dteday]],"yyyy")</f>
        <v>2011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s="2">
        <f>DATE(mergedcleandataset[[#This Row],[yr]],mergedcleandataset[[#This Row],[mnth]],mergedcleandataset[[#This Row],[day]])</f>
        <v>40555</v>
      </c>
      <c r="R259">
        <f>DAY(mergedcleandataset[[#This Row],[dteday]])</f>
        <v>12</v>
      </c>
      <c r="S259" t="str">
        <f>IF(mergedcleandataset[[#This Row],[weekday]]&gt;=5,"Yes","No")</f>
        <v>No</v>
      </c>
      <c r="T259" t="b">
        <f>ISBLANK(mergedcleandataset[[#This Row],[atemp]])</f>
        <v>0</v>
      </c>
      <c r="U259" t="str">
        <f t="shared" si="4"/>
        <v>Spring</v>
      </c>
      <c r="V259" t="str">
        <f>TEXT(mergedcleandataset[[#This Row],[date]],"dddd")</f>
        <v>Wednesday</v>
      </c>
      <c r="W25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0" spans="1:23" x14ac:dyDescent="0.25">
      <c r="A260">
        <v>259</v>
      </c>
      <c r="B260" s="1">
        <v>40555</v>
      </c>
      <c r="C260">
        <v>1</v>
      </c>
      <c r="D260" t="str">
        <f>TEXT(mergedcleandataset[[#This Row],[dteday]],"yyyy")</f>
        <v>2011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s="2">
        <f>DATE(mergedcleandataset[[#This Row],[yr]],mergedcleandataset[[#This Row],[mnth]],mergedcleandataset[[#This Row],[day]])</f>
        <v>40555</v>
      </c>
      <c r="R260">
        <f>DAY(mergedcleandataset[[#This Row],[dteday]])</f>
        <v>12</v>
      </c>
      <c r="S260" t="str">
        <f>IF(mergedcleandataset[[#This Row],[weekday]]&gt;=5,"Yes","No")</f>
        <v>No</v>
      </c>
      <c r="T260" t="b">
        <f>ISBLANK(mergedcleandataset[[#This Row],[atemp]])</f>
        <v>0</v>
      </c>
      <c r="U260" t="str">
        <f t="shared" si="4"/>
        <v>Spring</v>
      </c>
      <c r="V260" t="str">
        <f>TEXT(mergedcleandataset[[#This Row],[date]],"dddd")</f>
        <v>Wednesday</v>
      </c>
      <c r="W2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1" spans="1:23" x14ac:dyDescent="0.25">
      <c r="A261">
        <v>260</v>
      </c>
      <c r="B261" s="1">
        <v>40555</v>
      </c>
      <c r="C261">
        <v>1</v>
      </c>
      <c r="D261" t="str">
        <f>TEXT(mergedcleandataset[[#This Row],[dteday]],"yyyy")</f>
        <v>2011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s="2">
        <f>DATE(mergedcleandataset[[#This Row],[yr]],mergedcleandataset[[#This Row],[mnth]],mergedcleandataset[[#This Row],[day]])</f>
        <v>40555</v>
      </c>
      <c r="R261">
        <f>DAY(mergedcleandataset[[#This Row],[dteday]])</f>
        <v>12</v>
      </c>
      <c r="S261" t="str">
        <f>IF(mergedcleandataset[[#This Row],[weekday]]&gt;=5,"Yes","No")</f>
        <v>No</v>
      </c>
      <c r="T261" t="b">
        <f>ISBLANK(mergedcleandataset[[#This Row],[atemp]])</f>
        <v>0</v>
      </c>
      <c r="U261" t="str">
        <f t="shared" si="4"/>
        <v>Spring</v>
      </c>
      <c r="V261" t="str">
        <f>TEXT(mergedcleandataset[[#This Row],[date]],"dddd")</f>
        <v>Wednesday</v>
      </c>
      <c r="W2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2" spans="1:23" x14ac:dyDescent="0.25">
      <c r="A262">
        <v>261</v>
      </c>
      <c r="B262" s="1">
        <v>40555</v>
      </c>
      <c r="C262">
        <v>1</v>
      </c>
      <c r="D262" t="str">
        <f>TEXT(mergedcleandataset[[#This Row],[dteday]],"yyyy")</f>
        <v>2011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s="2">
        <f>DATE(mergedcleandataset[[#This Row],[yr]],mergedcleandataset[[#This Row],[mnth]],mergedcleandataset[[#This Row],[day]])</f>
        <v>40555</v>
      </c>
      <c r="R262">
        <f>DAY(mergedcleandataset[[#This Row],[dteday]])</f>
        <v>12</v>
      </c>
      <c r="S262" t="str">
        <f>IF(mergedcleandataset[[#This Row],[weekday]]&gt;=5,"Yes","No")</f>
        <v>No</v>
      </c>
      <c r="T262" t="b">
        <f>ISBLANK(mergedcleandataset[[#This Row],[atemp]])</f>
        <v>0</v>
      </c>
      <c r="U262" t="str">
        <f t="shared" si="4"/>
        <v>Spring</v>
      </c>
      <c r="V262" t="str">
        <f>TEXT(mergedcleandataset[[#This Row],[date]],"dddd")</f>
        <v>Wednesday</v>
      </c>
      <c r="W2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3" spans="1:23" x14ac:dyDescent="0.25">
      <c r="A263">
        <v>262</v>
      </c>
      <c r="B263" s="1">
        <v>40555</v>
      </c>
      <c r="C263">
        <v>1</v>
      </c>
      <c r="D263" t="str">
        <f>TEXT(mergedcleandataset[[#This Row],[dteday]],"yyyy")</f>
        <v>2011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s="2">
        <f>DATE(mergedcleandataset[[#This Row],[yr]],mergedcleandataset[[#This Row],[mnth]],mergedcleandataset[[#This Row],[day]])</f>
        <v>40555</v>
      </c>
      <c r="R263">
        <f>DAY(mergedcleandataset[[#This Row],[dteday]])</f>
        <v>12</v>
      </c>
      <c r="S263" t="str">
        <f>IF(mergedcleandataset[[#This Row],[weekday]]&gt;=5,"Yes","No")</f>
        <v>No</v>
      </c>
      <c r="T263" t="b">
        <f>ISBLANK(mergedcleandataset[[#This Row],[atemp]])</f>
        <v>0</v>
      </c>
      <c r="U263" t="str">
        <f t="shared" si="4"/>
        <v>Spring</v>
      </c>
      <c r="V263" t="str">
        <f>TEXT(mergedcleandataset[[#This Row],[date]],"dddd")</f>
        <v>Wednesday</v>
      </c>
      <c r="W2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4" spans="1:23" x14ac:dyDescent="0.25">
      <c r="A264">
        <v>263</v>
      </c>
      <c r="B264" s="1">
        <v>40555</v>
      </c>
      <c r="C264">
        <v>1</v>
      </c>
      <c r="D264" t="str">
        <f>TEXT(mergedcleandataset[[#This Row],[dteday]],"yyyy")</f>
        <v>2011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s="2">
        <f>DATE(mergedcleandataset[[#This Row],[yr]],mergedcleandataset[[#This Row],[mnth]],mergedcleandataset[[#This Row],[day]])</f>
        <v>40555</v>
      </c>
      <c r="R264">
        <f>DAY(mergedcleandataset[[#This Row],[dteday]])</f>
        <v>12</v>
      </c>
      <c r="S264" t="str">
        <f>IF(mergedcleandataset[[#This Row],[weekday]]&gt;=5,"Yes","No")</f>
        <v>No</v>
      </c>
      <c r="T264" t="b">
        <f>ISBLANK(mergedcleandataset[[#This Row],[atemp]])</f>
        <v>0</v>
      </c>
      <c r="U264" t="str">
        <f t="shared" si="4"/>
        <v>Spring</v>
      </c>
      <c r="V264" t="str">
        <f>TEXT(mergedcleandataset[[#This Row],[date]],"dddd")</f>
        <v>Wednesday</v>
      </c>
      <c r="W26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5" spans="1:23" x14ac:dyDescent="0.25">
      <c r="A265">
        <v>264</v>
      </c>
      <c r="B265" s="1">
        <v>40555</v>
      </c>
      <c r="C265">
        <v>1</v>
      </c>
      <c r="D265" t="str">
        <f>TEXT(mergedcleandataset[[#This Row],[dteday]],"yyyy")</f>
        <v>2011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s="2">
        <f>DATE(mergedcleandataset[[#This Row],[yr]],mergedcleandataset[[#This Row],[mnth]],mergedcleandataset[[#This Row],[day]])</f>
        <v>40555</v>
      </c>
      <c r="R265">
        <f>DAY(mergedcleandataset[[#This Row],[dteday]])</f>
        <v>12</v>
      </c>
      <c r="S265" t="str">
        <f>IF(mergedcleandataset[[#This Row],[weekday]]&gt;=5,"Yes","No")</f>
        <v>No</v>
      </c>
      <c r="T265" t="b">
        <f>ISBLANK(mergedcleandataset[[#This Row],[atemp]])</f>
        <v>0</v>
      </c>
      <c r="U265" t="str">
        <f t="shared" si="4"/>
        <v>Spring</v>
      </c>
      <c r="V265" t="str">
        <f>TEXT(mergedcleandataset[[#This Row],[date]],"dddd")</f>
        <v>Wednesday</v>
      </c>
      <c r="W26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6" spans="1:23" x14ac:dyDescent="0.25">
      <c r="A266">
        <v>265</v>
      </c>
      <c r="B266" s="1">
        <v>40555</v>
      </c>
      <c r="C266">
        <v>1</v>
      </c>
      <c r="D266" t="str">
        <f>TEXT(mergedcleandataset[[#This Row],[dteday]],"yyyy")</f>
        <v>2011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s="2">
        <f>DATE(mergedcleandataset[[#This Row],[yr]],mergedcleandataset[[#This Row],[mnth]],mergedcleandataset[[#This Row],[day]])</f>
        <v>40555</v>
      </c>
      <c r="R266">
        <f>DAY(mergedcleandataset[[#This Row],[dteday]])</f>
        <v>12</v>
      </c>
      <c r="S266" t="str">
        <f>IF(mergedcleandataset[[#This Row],[weekday]]&gt;=5,"Yes","No")</f>
        <v>No</v>
      </c>
      <c r="T266" t="b">
        <f>ISBLANK(mergedcleandataset[[#This Row],[atemp]])</f>
        <v>0</v>
      </c>
      <c r="U266" t="str">
        <f t="shared" si="4"/>
        <v>Spring</v>
      </c>
      <c r="V266" t="str">
        <f>TEXT(mergedcleandataset[[#This Row],[date]],"dddd")</f>
        <v>Wednesday</v>
      </c>
      <c r="W26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7" spans="1:23" x14ac:dyDescent="0.25">
      <c r="A267">
        <v>266</v>
      </c>
      <c r="B267" s="1">
        <v>40555</v>
      </c>
      <c r="C267">
        <v>1</v>
      </c>
      <c r="D267" t="str">
        <f>TEXT(mergedcleandataset[[#This Row],[dteday]],"yyyy")</f>
        <v>2011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s="2">
        <f>DATE(mergedcleandataset[[#This Row],[yr]],mergedcleandataset[[#This Row],[mnth]],mergedcleandataset[[#This Row],[day]])</f>
        <v>40555</v>
      </c>
      <c r="R267">
        <f>DAY(mergedcleandataset[[#This Row],[dteday]])</f>
        <v>12</v>
      </c>
      <c r="S267" t="str">
        <f>IF(mergedcleandataset[[#This Row],[weekday]]&gt;=5,"Yes","No")</f>
        <v>No</v>
      </c>
      <c r="T267" t="b">
        <f>ISBLANK(mergedcleandataset[[#This Row],[atemp]])</f>
        <v>0</v>
      </c>
      <c r="U267" t="str">
        <f t="shared" si="4"/>
        <v>Spring</v>
      </c>
      <c r="V267" t="str">
        <f>TEXT(mergedcleandataset[[#This Row],[date]],"dddd")</f>
        <v>Wednesday</v>
      </c>
      <c r="W26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8" spans="1:23" x14ac:dyDescent="0.25">
      <c r="A268">
        <v>267</v>
      </c>
      <c r="B268" s="1">
        <v>40555</v>
      </c>
      <c r="C268">
        <v>1</v>
      </c>
      <c r="D268" t="str">
        <f>TEXT(mergedcleandataset[[#This Row],[dteday]],"yyyy")</f>
        <v>2011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s="2">
        <f>DATE(mergedcleandataset[[#This Row],[yr]],mergedcleandataset[[#This Row],[mnth]],mergedcleandataset[[#This Row],[day]])</f>
        <v>40555</v>
      </c>
      <c r="R268">
        <f>DAY(mergedcleandataset[[#This Row],[dteday]])</f>
        <v>12</v>
      </c>
      <c r="S268" t="str">
        <f>IF(mergedcleandataset[[#This Row],[weekday]]&gt;=5,"Yes","No")</f>
        <v>No</v>
      </c>
      <c r="T268" t="b">
        <f>ISBLANK(mergedcleandataset[[#This Row],[atemp]])</f>
        <v>0</v>
      </c>
      <c r="U268" t="str">
        <f t="shared" si="4"/>
        <v>Spring</v>
      </c>
      <c r="V268" t="str">
        <f>TEXT(mergedcleandataset[[#This Row],[date]],"dddd")</f>
        <v>Wednesday</v>
      </c>
      <c r="W26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69" spans="1:23" x14ac:dyDescent="0.25">
      <c r="A269">
        <v>268</v>
      </c>
      <c r="B269" s="1">
        <v>40555</v>
      </c>
      <c r="C269">
        <v>1</v>
      </c>
      <c r="D269" t="str">
        <f>TEXT(mergedcleandataset[[#This Row],[dteday]],"yyyy")</f>
        <v>2011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s="2">
        <f>DATE(mergedcleandataset[[#This Row],[yr]],mergedcleandataset[[#This Row],[mnth]],mergedcleandataset[[#This Row],[day]])</f>
        <v>40555</v>
      </c>
      <c r="R269">
        <f>DAY(mergedcleandataset[[#This Row],[dteday]])</f>
        <v>12</v>
      </c>
      <c r="S269" t="str">
        <f>IF(mergedcleandataset[[#This Row],[weekday]]&gt;=5,"Yes","No")</f>
        <v>No</v>
      </c>
      <c r="T269" t="b">
        <f>ISBLANK(mergedcleandataset[[#This Row],[atemp]])</f>
        <v>0</v>
      </c>
      <c r="U269" t="str">
        <f t="shared" si="4"/>
        <v>Spring</v>
      </c>
      <c r="V269" t="str">
        <f>TEXT(mergedcleandataset[[#This Row],[date]],"dddd")</f>
        <v>Wednesday</v>
      </c>
      <c r="W26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0" spans="1:23" x14ac:dyDescent="0.25">
      <c r="A270">
        <v>269</v>
      </c>
      <c r="B270" s="1">
        <v>40555</v>
      </c>
      <c r="C270">
        <v>1</v>
      </c>
      <c r="D270" t="str">
        <f>TEXT(mergedcleandataset[[#This Row],[dteday]],"yyyy")</f>
        <v>2011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s="2">
        <f>DATE(mergedcleandataset[[#This Row],[yr]],mergedcleandataset[[#This Row],[mnth]],mergedcleandataset[[#This Row],[day]])</f>
        <v>40555</v>
      </c>
      <c r="R270">
        <f>DAY(mergedcleandataset[[#This Row],[dteday]])</f>
        <v>12</v>
      </c>
      <c r="S270" t="str">
        <f>IF(mergedcleandataset[[#This Row],[weekday]]&gt;=5,"Yes","No")</f>
        <v>No</v>
      </c>
      <c r="T270" t="b">
        <f>ISBLANK(mergedcleandataset[[#This Row],[atemp]])</f>
        <v>0</v>
      </c>
      <c r="U270" t="str">
        <f t="shared" si="4"/>
        <v>Spring</v>
      </c>
      <c r="V270" t="str">
        <f>TEXT(mergedcleandataset[[#This Row],[date]],"dddd")</f>
        <v>Wednesday</v>
      </c>
      <c r="W27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1" spans="1:23" x14ac:dyDescent="0.25">
      <c r="A271">
        <v>270</v>
      </c>
      <c r="B271" s="1">
        <v>40555</v>
      </c>
      <c r="C271">
        <v>1</v>
      </c>
      <c r="D271" t="str">
        <f>TEXT(mergedcleandataset[[#This Row],[dteday]],"yyyy")</f>
        <v>2011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s="2">
        <f>DATE(mergedcleandataset[[#This Row],[yr]],mergedcleandataset[[#This Row],[mnth]],mergedcleandataset[[#This Row],[day]])</f>
        <v>40555</v>
      </c>
      <c r="R271">
        <f>DAY(mergedcleandataset[[#This Row],[dteday]])</f>
        <v>12</v>
      </c>
      <c r="S271" t="str">
        <f>IF(mergedcleandataset[[#This Row],[weekday]]&gt;=5,"Yes","No")</f>
        <v>No</v>
      </c>
      <c r="T271" t="b">
        <f>ISBLANK(mergedcleandataset[[#This Row],[atemp]])</f>
        <v>0</v>
      </c>
      <c r="U271" t="str">
        <f t="shared" si="4"/>
        <v>Spring</v>
      </c>
      <c r="V271" t="str">
        <f>TEXT(mergedcleandataset[[#This Row],[date]],"dddd")</f>
        <v>Wednesday</v>
      </c>
      <c r="W2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2" spans="1:23" x14ac:dyDescent="0.25">
      <c r="A272">
        <v>271</v>
      </c>
      <c r="B272" s="1">
        <v>40555</v>
      </c>
      <c r="C272">
        <v>1</v>
      </c>
      <c r="D272" t="str">
        <f>TEXT(mergedcleandataset[[#This Row],[dteday]],"yyyy")</f>
        <v>2011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s="2">
        <f>DATE(mergedcleandataset[[#This Row],[yr]],mergedcleandataset[[#This Row],[mnth]],mergedcleandataset[[#This Row],[day]])</f>
        <v>40555</v>
      </c>
      <c r="R272">
        <f>DAY(mergedcleandataset[[#This Row],[dteday]])</f>
        <v>12</v>
      </c>
      <c r="S272" t="str">
        <f>IF(mergedcleandataset[[#This Row],[weekday]]&gt;=5,"Yes","No")</f>
        <v>No</v>
      </c>
      <c r="T272" t="b">
        <f>ISBLANK(mergedcleandataset[[#This Row],[atemp]])</f>
        <v>0</v>
      </c>
      <c r="U272" t="str">
        <f t="shared" si="4"/>
        <v>Spring</v>
      </c>
      <c r="V272" t="str">
        <f>TEXT(mergedcleandataset[[#This Row],[date]],"dddd")</f>
        <v>Wednesday</v>
      </c>
      <c r="W27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3" spans="1:23" x14ac:dyDescent="0.25">
      <c r="A273">
        <v>272</v>
      </c>
      <c r="B273" s="1">
        <v>40555</v>
      </c>
      <c r="C273">
        <v>1</v>
      </c>
      <c r="D273" t="str">
        <f>TEXT(mergedcleandataset[[#This Row],[dteday]],"yyyy")</f>
        <v>2011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s="2">
        <f>DATE(mergedcleandataset[[#This Row],[yr]],mergedcleandataset[[#This Row],[mnth]],mergedcleandataset[[#This Row],[day]])</f>
        <v>40555</v>
      </c>
      <c r="R273">
        <f>DAY(mergedcleandataset[[#This Row],[dteday]])</f>
        <v>12</v>
      </c>
      <c r="S273" t="str">
        <f>IF(mergedcleandataset[[#This Row],[weekday]]&gt;=5,"Yes","No")</f>
        <v>No</v>
      </c>
      <c r="T273" t="b">
        <f>ISBLANK(mergedcleandataset[[#This Row],[atemp]])</f>
        <v>0</v>
      </c>
      <c r="U273" t="str">
        <f t="shared" si="4"/>
        <v>Spring</v>
      </c>
      <c r="V273" t="str">
        <f>TEXT(mergedcleandataset[[#This Row],[date]],"dddd")</f>
        <v>Wednesday</v>
      </c>
      <c r="W27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4" spans="1:23" x14ac:dyDescent="0.25">
      <c r="A274">
        <v>273</v>
      </c>
      <c r="B274" s="1">
        <v>40555</v>
      </c>
      <c r="C274">
        <v>1</v>
      </c>
      <c r="D274" t="str">
        <f>TEXT(mergedcleandataset[[#This Row],[dteday]],"yyyy")</f>
        <v>2011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s="2">
        <f>DATE(mergedcleandataset[[#This Row],[yr]],mergedcleandataset[[#This Row],[mnth]],mergedcleandataset[[#This Row],[day]])</f>
        <v>40555</v>
      </c>
      <c r="R274">
        <f>DAY(mergedcleandataset[[#This Row],[dteday]])</f>
        <v>12</v>
      </c>
      <c r="S274" t="str">
        <f>IF(mergedcleandataset[[#This Row],[weekday]]&gt;=5,"Yes","No")</f>
        <v>No</v>
      </c>
      <c r="T274" t="b">
        <f>ISBLANK(mergedcleandataset[[#This Row],[atemp]])</f>
        <v>0</v>
      </c>
      <c r="U274" t="str">
        <f t="shared" si="4"/>
        <v>Spring</v>
      </c>
      <c r="V274" t="str">
        <f>TEXT(mergedcleandataset[[#This Row],[date]],"dddd")</f>
        <v>Wednesday</v>
      </c>
      <c r="W27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5" spans="1:23" x14ac:dyDescent="0.25">
      <c r="A275">
        <v>274</v>
      </c>
      <c r="B275" s="1">
        <v>40555</v>
      </c>
      <c r="C275">
        <v>1</v>
      </c>
      <c r="D275" t="str">
        <f>TEXT(mergedcleandataset[[#This Row],[dteday]],"yyyy")</f>
        <v>2011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s="2">
        <f>DATE(mergedcleandataset[[#This Row],[yr]],mergedcleandataset[[#This Row],[mnth]],mergedcleandataset[[#This Row],[day]])</f>
        <v>40555</v>
      </c>
      <c r="R275">
        <f>DAY(mergedcleandataset[[#This Row],[dteday]])</f>
        <v>12</v>
      </c>
      <c r="S275" t="str">
        <f>IF(mergedcleandataset[[#This Row],[weekday]]&gt;=5,"Yes","No")</f>
        <v>No</v>
      </c>
      <c r="T275" t="b">
        <f>ISBLANK(mergedcleandataset[[#This Row],[atemp]])</f>
        <v>0</v>
      </c>
      <c r="U275" t="str">
        <f t="shared" si="4"/>
        <v>Spring</v>
      </c>
      <c r="V275" t="str">
        <f>TEXT(mergedcleandataset[[#This Row],[date]],"dddd")</f>
        <v>Wednesday</v>
      </c>
      <c r="W27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6" spans="1:23" x14ac:dyDescent="0.25">
      <c r="A276">
        <v>275</v>
      </c>
      <c r="B276" s="1">
        <v>40555</v>
      </c>
      <c r="C276">
        <v>1</v>
      </c>
      <c r="D276" t="str">
        <f>TEXT(mergedcleandataset[[#This Row],[dteday]],"yyyy")</f>
        <v>2011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s="2">
        <f>DATE(mergedcleandataset[[#This Row],[yr]],mergedcleandataset[[#This Row],[mnth]],mergedcleandataset[[#This Row],[day]])</f>
        <v>40555</v>
      </c>
      <c r="R276">
        <f>DAY(mergedcleandataset[[#This Row],[dteday]])</f>
        <v>12</v>
      </c>
      <c r="S276" t="str">
        <f>IF(mergedcleandataset[[#This Row],[weekday]]&gt;=5,"Yes","No")</f>
        <v>No</v>
      </c>
      <c r="T276" t="b">
        <f>ISBLANK(mergedcleandataset[[#This Row],[atemp]])</f>
        <v>0</v>
      </c>
      <c r="U276" t="str">
        <f t="shared" si="4"/>
        <v>Spring</v>
      </c>
      <c r="V276" t="str">
        <f>TEXT(mergedcleandataset[[#This Row],[date]],"dddd")</f>
        <v>Wednesday</v>
      </c>
      <c r="W27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7" spans="1:23" x14ac:dyDescent="0.25">
      <c r="A277">
        <v>276</v>
      </c>
      <c r="B277" s="1">
        <v>40555</v>
      </c>
      <c r="C277">
        <v>1</v>
      </c>
      <c r="D277" t="str">
        <f>TEXT(mergedcleandataset[[#This Row],[dteday]],"yyyy")</f>
        <v>2011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s="2">
        <f>DATE(mergedcleandataset[[#This Row],[yr]],mergedcleandataset[[#This Row],[mnth]],mergedcleandataset[[#This Row],[day]])</f>
        <v>40555</v>
      </c>
      <c r="R277">
        <f>DAY(mergedcleandataset[[#This Row],[dteday]])</f>
        <v>12</v>
      </c>
      <c r="S277" t="str">
        <f>IF(mergedcleandataset[[#This Row],[weekday]]&gt;=5,"Yes","No")</f>
        <v>No</v>
      </c>
      <c r="T277" t="b">
        <f>ISBLANK(mergedcleandataset[[#This Row],[atemp]])</f>
        <v>0</v>
      </c>
      <c r="U277" t="str">
        <f t="shared" si="4"/>
        <v>Spring</v>
      </c>
      <c r="V277" t="str">
        <f>TEXT(mergedcleandataset[[#This Row],[date]],"dddd")</f>
        <v>Wednesday</v>
      </c>
      <c r="W27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8" spans="1:23" x14ac:dyDescent="0.25">
      <c r="A278">
        <v>277</v>
      </c>
      <c r="B278" s="1">
        <v>40555</v>
      </c>
      <c r="C278">
        <v>1</v>
      </c>
      <c r="D278" t="str">
        <f>TEXT(mergedcleandataset[[#This Row],[dteday]],"yyyy")</f>
        <v>2011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s="2">
        <f>DATE(mergedcleandataset[[#This Row],[yr]],mergedcleandataset[[#This Row],[mnth]],mergedcleandataset[[#This Row],[day]])</f>
        <v>40555</v>
      </c>
      <c r="R278">
        <f>DAY(mergedcleandataset[[#This Row],[dteday]])</f>
        <v>12</v>
      </c>
      <c r="S278" t="str">
        <f>IF(mergedcleandataset[[#This Row],[weekday]]&gt;=5,"Yes","No")</f>
        <v>No</v>
      </c>
      <c r="T278" t="b">
        <f>ISBLANK(mergedcleandataset[[#This Row],[atemp]])</f>
        <v>0</v>
      </c>
      <c r="U278" t="str">
        <f t="shared" si="4"/>
        <v>Spring</v>
      </c>
      <c r="V278" t="str">
        <f>TEXT(mergedcleandataset[[#This Row],[date]],"dddd")</f>
        <v>Wednesday</v>
      </c>
      <c r="W27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79" spans="1:23" x14ac:dyDescent="0.25">
      <c r="A279">
        <v>278</v>
      </c>
      <c r="B279" s="1">
        <v>40556</v>
      </c>
      <c r="C279">
        <v>1</v>
      </c>
      <c r="D279" t="str">
        <f>TEXT(mergedcleandataset[[#This Row],[dteday]],"yyyy")</f>
        <v>2011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s="2">
        <f>DATE(mergedcleandataset[[#This Row],[yr]],mergedcleandataset[[#This Row],[mnth]],mergedcleandataset[[#This Row],[day]])</f>
        <v>40556</v>
      </c>
      <c r="R279">
        <f>DAY(mergedcleandataset[[#This Row],[dteday]])</f>
        <v>13</v>
      </c>
      <c r="S279" t="str">
        <f>IF(mergedcleandataset[[#This Row],[weekday]]&gt;=5,"Yes","No")</f>
        <v>No</v>
      </c>
      <c r="T279" t="b">
        <f>ISBLANK(mergedcleandataset[[#This Row],[atemp]])</f>
        <v>0</v>
      </c>
      <c r="U279" t="str">
        <f t="shared" si="4"/>
        <v>Spring</v>
      </c>
      <c r="V279" t="str">
        <f>TEXT(mergedcleandataset[[#This Row],[date]],"dddd")</f>
        <v>Thursday</v>
      </c>
      <c r="W27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0" spans="1:23" x14ac:dyDescent="0.25">
      <c r="A280">
        <v>279</v>
      </c>
      <c r="B280" s="1">
        <v>40556</v>
      </c>
      <c r="C280">
        <v>1</v>
      </c>
      <c r="D280" t="str">
        <f>TEXT(mergedcleandataset[[#This Row],[dteday]],"yyyy")</f>
        <v>2011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s="2">
        <f>DATE(mergedcleandataset[[#This Row],[yr]],mergedcleandataset[[#This Row],[mnth]],mergedcleandataset[[#This Row],[day]])</f>
        <v>40556</v>
      </c>
      <c r="R280">
        <f>DAY(mergedcleandataset[[#This Row],[dteday]])</f>
        <v>13</v>
      </c>
      <c r="S280" t="str">
        <f>IF(mergedcleandataset[[#This Row],[weekday]]&gt;=5,"Yes","No")</f>
        <v>No</v>
      </c>
      <c r="T280" t="b">
        <f>ISBLANK(mergedcleandataset[[#This Row],[atemp]])</f>
        <v>0</v>
      </c>
      <c r="U280" t="str">
        <f t="shared" si="4"/>
        <v>Spring</v>
      </c>
      <c r="V280" t="str">
        <f>TEXT(mergedcleandataset[[#This Row],[date]],"dddd")</f>
        <v>Thursday</v>
      </c>
      <c r="W28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1" spans="1:23" x14ac:dyDescent="0.25">
      <c r="A281">
        <v>280</v>
      </c>
      <c r="B281" s="1">
        <v>40556</v>
      </c>
      <c r="C281">
        <v>1</v>
      </c>
      <c r="D281" t="str">
        <f>TEXT(mergedcleandataset[[#This Row],[dteday]],"yyyy")</f>
        <v>2011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s="2">
        <f>DATE(mergedcleandataset[[#This Row],[yr]],mergedcleandataset[[#This Row],[mnth]],mergedcleandataset[[#This Row],[day]])</f>
        <v>40556</v>
      </c>
      <c r="R281">
        <f>DAY(mergedcleandataset[[#This Row],[dteday]])</f>
        <v>13</v>
      </c>
      <c r="S281" t="str">
        <f>IF(mergedcleandataset[[#This Row],[weekday]]&gt;=5,"Yes","No")</f>
        <v>No</v>
      </c>
      <c r="T281" t="b">
        <f>ISBLANK(mergedcleandataset[[#This Row],[atemp]])</f>
        <v>0</v>
      </c>
      <c r="U281" t="str">
        <f t="shared" si="4"/>
        <v>Spring</v>
      </c>
      <c r="V281" t="str">
        <f>TEXT(mergedcleandataset[[#This Row],[date]],"dddd")</f>
        <v>Thursday</v>
      </c>
      <c r="W28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2" spans="1:23" x14ac:dyDescent="0.25">
      <c r="A282">
        <v>281</v>
      </c>
      <c r="B282" s="1">
        <v>40556</v>
      </c>
      <c r="C282">
        <v>1</v>
      </c>
      <c r="D282" t="str">
        <f>TEXT(mergedcleandataset[[#This Row],[dteday]],"yyyy")</f>
        <v>2011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s="2">
        <f>DATE(mergedcleandataset[[#This Row],[yr]],mergedcleandataset[[#This Row],[mnth]],mergedcleandataset[[#This Row],[day]])</f>
        <v>40556</v>
      </c>
      <c r="R282">
        <f>DAY(mergedcleandataset[[#This Row],[dteday]])</f>
        <v>13</v>
      </c>
      <c r="S282" t="str">
        <f>IF(mergedcleandataset[[#This Row],[weekday]]&gt;=5,"Yes","No")</f>
        <v>No</v>
      </c>
      <c r="T282" t="b">
        <f>ISBLANK(mergedcleandataset[[#This Row],[atemp]])</f>
        <v>0</v>
      </c>
      <c r="U282" t="str">
        <f t="shared" si="4"/>
        <v>Spring</v>
      </c>
      <c r="V282" t="str">
        <f>TEXT(mergedcleandataset[[#This Row],[date]],"dddd")</f>
        <v>Thursday</v>
      </c>
      <c r="W28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3" spans="1:23" x14ac:dyDescent="0.25">
      <c r="A283">
        <v>282</v>
      </c>
      <c r="B283" s="1">
        <v>40556</v>
      </c>
      <c r="C283">
        <v>1</v>
      </c>
      <c r="D283" t="str">
        <f>TEXT(mergedcleandataset[[#This Row],[dteday]],"yyyy")</f>
        <v>2011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s="2">
        <f>DATE(mergedcleandataset[[#This Row],[yr]],mergedcleandataset[[#This Row],[mnth]],mergedcleandataset[[#This Row],[day]])</f>
        <v>40556</v>
      </c>
      <c r="R283">
        <f>DAY(mergedcleandataset[[#This Row],[dteday]])</f>
        <v>13</v>
      </c>
      <c r="S283" t="str">
        <f>IF(mergedcleandataset[[#This Row],[weekday]]&gt;=5,"Yes","No")</f>
        <v>No</v>
      </c>
      <c r="T283" t="b">
        <f>ISBLANK(mergedcleandataset[[#This Row],[atemp]])</f>
        <v>0</v>
      </c>
      <c r="U283" t="str">
        <f t="shared" si="4"/>
        <v>Spring</v>
      </c>
      <c r="V283" t="str">
        <f>TEXT(mergedcleandataset[[#This Row],[date]],"dddd")</f>
        <v>Thursday</v>
      </c>
      <c r="W28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4" spans="1:23" x14ac:dyDescent="0.25">
      <c r="A284">
        <v>283</v>
      </c>
      <c r="B284" s="1">
        <v>40556</v>
      </c>
      <c r="C284">
        <v>1</v>
      </c>
      <c r="D284" t="str">
        <f>TEXT(mergedcleandataset[[#This Row],[dteday]],"yyyy")</f>
        <v>2011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s="2">
        <f>DATE(mergedcleandataset[[#This Row],[yr]],mergedcleandataset[[#This Row],[mnth]],mergedcleandataset[[#This Row],[day]])</f>
        <v>40556</v>
      </c>
      <c r="R284">
        <f>DAY(mergedcleandataset[[#This Row],[dteday]])</f>
        <v>13</v>
      </c>
      <c r="S284" t="str">
        <f>IF(mergedcleandataset[[#This Row],[weekday]]&gt;=5,"Yes","No")</f>
        <v>No</v>
      </c>
      <c r="T284" t="b">
        <f>ISBLANK(mergedcleandataset[[#This Row],[atemp]])</f>
        <v>0</v>
      </c>
      <c r="U284" t="str">
        <f t="shared" si="4"/>
        <v>Spring</v>
      </c>
      <c r="V284" t="str">
        <f>TEXT(mergedcleandataset[[#This Row],[date]],"dddd")</f>
        <v>Thursday</v>
      </c>
      <c r="W28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5" spans="1:23" x14ac:dyDescent="0.25">
      <c r="A285">
        <v>284</v>
      </c>
      <c r="B285" s="1">
        <v>40556</v>
      </c>
      <c r="C285">
        <v>1</v>
      </c>
      <c r="D285" t="str">
        <f>TEXT(mergedcleandataset[[#This Row],[dteday]],"yyyy")</f>
        <v>2011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s="2">
        <f>DATE(mergedcleandataset[[#This Row],[yr]],mergedcleandataset[[#This Row],[mnth]],mergedcleandataset[[#This Row],[day]])</f>
        <v>40556</v>
      </c>
      <c r="R285">
        <f>DAY(mergedcleandataset[[#This Row],[dteday]])</f>
        <v>13</v>
      </c>
      <c r="S285" t="str">
        <f>IF(mergedcleandataset[[#This Row],[weekday]]&gt;=5,"Yes","No")</f>
        <v>No</v>
      </c>
      <c r="T285" t="b">
        <f>ISBLANK(mergedcleandataset[[#This Row],[atemp]])</f>
        <v>0</v>
      </c>
      <c r="U285" t="str">
        <f t="shared" si="4"/>
        <v>Spring</v>
      </c>
      <c r="V285" t="str">
        <f>TEXT(mergedcleandataset[[#This Row],[date]],"dddd")</f>
        <v>Thursday</v>
      </c>
      <c r="W28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6" spans="1:23" x14ac:dyDescent="0.25">
      <c r="A286">
        <v>285</v>
      </c>
      <c r="B286" s="1">
        <v>40556</v>
      </c>
      <c r="C286">
        <v>1</v>
      </c>
      <c r="D286" t="str">
        <f>TEXT(mergedcleandataset[[#This Row],[dteday]],"yyyy")</f>
        <v>2011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s="2">
        <f>DATE(mergedcleandataset[[#This Row],[yr]],mergedcleandataset[[#This Row],[mnth]],mergedcleandataset[[#This Row],[day]])</f>
        <v>40556</v>
      </c>
      <c r="R286">
        <f>DAY(mergedcleandataset[[#This Row],[dteday]])</f>
        <v>13</v>
      </c>
      <c r="S286" t="str">
        <f>IF(mergedcleandataset[[#This Row],[weekday]]&gt;=5,"Yes","No")</f>
        <v>No</v>
      </c>
      <c r="T286" t="b">
        <f>ISBLANK(mergedcleandataset[[#This Row],[atemp]])</f>
        <v>0</v>
      </c>
      <c r="U286" t="str">
        <f t="shared" si="4"/>
        <v>Spring</v>
      </c>
      <c r="V286" t="str">
        <f>TEXT(mergedcleandataset[[#This Row],[date]],"dddd")</f>
        <v>Thursday</v>
      </c>
      <c r="W28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7" spans="1:23" x14ac:dyDescent="0.25">
      <c r="A287">
        <v>286</v>
      </c>
      <c r="B287" s="1">
        <v>40556</v>
      </c>
      <c r="C287">
        <v>1</v>
      </c>
      <c r="D287" t="str">
        <f>TEXT(mergedcleandataset[[#This Row],[dteday]],"yyyy")</f>
        <v>2011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s="2">
        <f>DATE(mergedcleandataset[[#This Row],[yr]],mergedcleandataset[[#This Row],[mnth]],mergedcleandataset[[#This Row],[day]])</f>
        <v>40556</v>
      </c>
      <c r="R287">
        <f>DAY(mergedcleandataset[[#This Row],[dteday]])</f>
        <v>13</v>
      </c>
      <c r="S287" t="str">
        <f>IF(mergedcleandataset[[#This Row],[weekday]]&gt;=5,"Yes","No")</f>
        <v>No</v>
      </c>
      <c r="T287" t="b">
        <f>ISBLANK(mergedcleandataset[[#This Row],[atemp]])</f>
        <v>0</v>
      </c>
      <c r="U287" t="str">
        <f t="shared" si="4"/>
        <v>Spring</v>
      </c>
      <c r="V287" t="str">
        <f>TEXT(mergedcleandataset[[#This Row],[date]],"dddd")</f>
        <v>Thursday</v>
      </c>
      <c r="W28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8" spans="1:23" x14ac:dyDescent="0.25">
      <c r="A288">
        <v>287</v>
      </c>
      <c r="B288" s="1">
        <v>40556</v>
      </c>
      <c r="C288">
        <v>1</v>
      </c>
      <c r="D288" t="str">
        <f>TEXT(mergedcleandataset[[#This Row],[dteday]],"yyyy")</f>
        <v>2011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s="2">
        <f>DATE(mergedcleandataset[[#This Row],[yr]],mergedcleandataset[[#This Row],[mnth]],mergedcleandataset[[#This Row],[day]])</f>
        <v>40556</v>
      </c>
      <c r="R288">
        <f>DAY(mergedcleandataset[[#This Row],[dteday]])</f>
        <v>13</v>
      </c>
      <c r="S288" t="str">
        <f>IF(mergedcleandataset[[#This Row],[weekday]]&gt;=5,"Yes","No")</f>
        <v>No</v>
      </c>
      <c r="T288" t="b">
        <f>ISBLANK(mergedcleandataset[[#This Row],[atemp]])</f>
        <v>0</v>
      </c>
      <c r="U288" t="str">
        <f t="shared" si="4"/>
        <v>Spring</v>
      </c>
      <c r="V288" t="str">
        <f>TEXT(mergedcleandataset[[#This Row],[date]],"dddd")</f>
        <v>Thursday</v>
      </c>
      <c r="W28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89" spans="1:23" x14ac:dyDescent="0.25">
      <c r="A289">
        <v>288</v>
      </c>
      <c r="B289" s="1">
        <v>40556</v>
      </c>
      <c r="C289">
        <v>1</v>
      </c>
      <c r="D289" t="str">
        <f>TEXT(mergedcleandataset[[#This Row],[dteday]],"yyyy")</f>
        <v>2011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s="2">
        <f>DATE(mergedcleandataset[[#This Row],[yr]],mergedcleandataset[[#This Row],[mnth]],mergedcleandataset[[#This Row],[day]])</f>
        <v>40556</v>
      </c>
      <c r="R289">
        <f>DAY(mergedcleandataset[[#This Row],[dteday]])</f>
        <v>13</v>
      </c>
      <c r="S289" t="str">
        <f>IF(mergedcleandataset[[#This Row],[weekday]]&gt;=5,"Yes","No")</f>
        <v>No</v>
      </c>
      <c r="T289" t="b">
        <f>ISBLANK(mergedcleandataset[[#This Row],[atemp]])</f>
        <v>0</v>
      </c>
      <c r="U289" t="str">
        <f t="shared" si="4"/>
        <v>Spring</v>
      </c>
      <c r="V289" t="str">
        <f>TEXT(mergedcleandataset[[#This Row],[date]],"dddd")</f>
        <v>Thursday</v>
      </c>
      <c r="W28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90" spans="1:23" x14ac:dyDescent="0.25">
      <c r="A290">
        <v>289</v>
      </c>
      <c r="B290" s="1">
        <v>40556</v>
      </c>
      <c r="C290">
        <v>1</v>
      </c>
      <c r="D290" t="str">
        <f>TEXT(mergedcleandataset[[#This Row],[dteday]],"yyyy")</f>
        <v>2011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s="2">
        <f>DATE(mergedcleandataset[[#This Row],[yr]],mergedcleandataset[[#This Row],[mnth]],mergedcleandataset[[#This Row],[day]])</f>
        <v>40556</v>
      </c>
      <c r="R290">
        <f>DAY(mergedcleandataset[[#This Row],[dteday]])</f>
        <v>13</v>
      </c>
      <c r="S290" t="str">
        <f>IF(mergedcleandataset[[#This Row],[weekday]]&gt;=5,"Yes","No")</f>
        <v>No</v>
      </c>
      <c r="T290" t="b">
        <f>ISBLANK(mergedcleandataset[[#This Row],[atemp]])</f>
        <v>0</v>
      </c>
      <c r="U290" t="str">
        <f t="shared" si="4"/>
        <v>Spring</v>
      </c>
      <c r="V290" t="str">
        <f>TEXT(mergedcleandataset[[#This Row],[date]],"dddd")</f>
        <v>Thursday</v>
      </c>
      <c r="W29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291" spans="1:23" x14ac:dyDescent="0.25">
      <c r="A291">
        <v>290</v>
      </c>
      <c r="B291" s="1">
        <v>40556</v>
      </c>
      <c r="C291">
        <v>1</v>
      </c>
      <c r="D291" t="str">
        <f>TEXT(mergedcleandataset[[#This Row],[dteday]],"yyyy")</f>
        <v>2011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s="2">
        <f>DATE(mergedcleandataset[[#This Row],[yr]],mergedcleandataset[[#This Row],[mnth]],mergedcleandataset[[#This Row],[day]])</f>
        <v>40556</v>
      </c>
      <c r="R291">
        <f>DAY(mergedcleandataset[[#This Row],[dteday]])</f>
        <v>13</v>
      </c>
      <c r="S291" t="str">
        <f>IF(mergedcleandataset[[#This Row],[weekday]]&gt;=5,"Yes","No")</f>
        <v>No</v>
      </c>
      <c r="T291" t="b">
        <f>ISBLANK(mergedcleandataset[[#This Row],[atemp]])</f>
        <v>0</v>
      </c>
      <c r="U291" t="str">
        <f t="shared" si="4"/>
        <v>Spring</v>
      </c>
      <c r="V291" t="str">
        <f>TEXT(mergedcleandataset[[#This Row],[date]],"dddd")</f>
        <v>Thursday</v>
      </c>
      <c r="W29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2" spans="1:23" x14ac:dyDescent="0.25">
      <c r="A292">
        <v>291</v>
      </c>
      <c r="B292" s="1">
        <v>40556</v>
      </c>
      <c r="C292">
        <v>1</v>
      </c>
      <c r="D292" t="str">
        <f>TEXT(mergedcleandataset[[#This Row],[dteday]],"yyyy")</f>
        <v>2011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s="2">
        <f>DATE(mergedcleandataset[[#This Row],[yr]],mergedcleandataset[[#This Row],[mnth]],mergedcleandataset[[#This Row],[day]])</f>
        <v>40556</v>
      </c>
      <c r="R292">
        <f>DAY(mergedcleandataset[[#This Row],[dteday]])</f>
        <v>13</v>
      </c>
      <c r="S292" t="str">
        <f>IF(mergedcleandataset[[#This Row],[weekday]]&gt;=5,"Yes","No")</f>
        <v>No</v>
      </c>
      <c r="T292" t="b">
        <f>ISBLANK(mergedcleandataset[[#This Row],[atemp]])</f>
        <v>0</v>
      </c>
      <c r="U292" t="str">
        <f t="shared" si="4"/>
        <v>Spring</v>
      </c>
      <c r="V292" t="str">
        <f>TEXT(mergedcleandataset[[#This Row],[date]],"dddd")</f>
        <v>Thursday</v>
      </c>
      <c r="W29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3" spans="1:23" x14ac:dyDescent="0.25">
      <c r="A293">
        <v>292</v>
      </c>
      <c r="B293" s="1">
        <v>40556</v>
      </c>
      <c r="C293">
        <v>1</v>
      </c>
      <c r="D293" t="str">
        <f>TEXT(mergedcleandataset[[#This Row],[dteday]],"yyyy")</f>
        <v>2011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s="2">
        <f>DATE(mergedcleandataset[[#This Row],[yr]],mergedcleandataset[[#This Row],[mnth]],mergedcleandataset[[#This Row],[day]])</f>
        <v>40556</v>
      </c>
      <c r="R293">
        <f>DAY(mergedcleandataset[[#This Row],[dteday]])</f>
        <v>13</v>
      </c>
      <c r="S293" t="str">
        <f>IF(mergedcleandataset[[#This Row],[weekday]]&gt;=5,"Yes","No")</f>
        <v>No</v>
      </c>
      <c r="T293" t="b">
        <f>ISBLANK(mergedcleandataset[[#This Row],[atemp]])</f>
        <v>0</v>
      </c>
      <c r="U293" t="str">
        <f t="shared" si="4"/>
        <v>Spring</v>
      </c>
      <c r="V293" t="str">
        <f>TEXT(mergedcleandataset[[#This Row],[date]],"dddd")</f>
        <v>Thursday</v>
      </c>
      <c r="W29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4" spans="1:23" x14ac:dyDescent="0.25">
      <c r="A294">
        <v>293</v>
      </c>
      <c r="B294" s="1">
        <v>40556</v>
      </c>
      <c r="C294">
        <v>1</v>
      </c>
      <c r="D294" t="str">
        <f>TEXT(mergedcleandataset[[#This Row],[dteday]],"yyyy")</f>
        <v>2011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s="2">
        <f>DATE(mergedcleandataset[[#This Row],[yr]],mergedcleandataset[[#This Row],[mnth]],mergedcleandataset[[#This Row],[day]])</f>
        <v>40556</v>
      </c>
      <c r="R294">
        <f>DAY(mergedcleandataset[[#This Row],[dteday]])</f>
        <v>13</v>
      </c>
      <c r="S294" t="str">
        <f>IF(mergedcleandataset[[#This Row],[weekday]]&gt;=5,"Yes","No")</f>
        <v>No</v>
      </c>
      <c r="T294" t="b">
        <f>ISBLANK(mergedcleandataset[[#This Row],[atemp]])</f>
        <v>0</v>
      </c>
      <c r="U294" t="str">
        <f t="shared" si="4"/>
        <v>Spring</v>
      </c>
      <c r="V294" t="str">
        <f>TEXT(mergedcleandataset[[#This Row],[date]],"dddd")</f>
        <v>Thursday</v>
      </c>
      <c r="W2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5" spans="1:23" x14ac:dyDescent="0.25">
      <c r="A295">
        <v>294</v>
      </c>
      <c r="B295" s="1">
        <v>40556</v>
      </c>
      <c r="C295">
        <v>1</v>
      </c>
      <c r="D295" t="str">
        <f>TEXT(mergedcleandataset[[#This Row],[dteday]],"yyyy")</f>
        <v>2011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s="2">
        <f>DATE(mergedcleandataset[[#This Row],[yr]],mergedcleandataset[[#This Row],[mnth]],mergedcleandataset[[#This Row],[day]])</f>
        <v>40556</v>
      </c>
      <c r="R295">
        <f>DAY(mergedcleandataset[[#This Row],[dteday]])</f>
        <v>13</v>
      </c>
      <c r="S295" t="str">
        <f>IF(mergedcleandataset[[#This Row],[weekday]]&gt;=5,"Yes","No")</f>
        <v>No</v>
      </c>
      <c r="T295" t="b">
        <f>ISBLANK(mergedcleandataset[[#This Row],[atemp]])</f>
        <v>0</v>
      </c>
      <c r="U295" t="str">
        <f t="shared" si="4"/>
        <v>Spring</v>
      </c>
      <c r="V295" t="str">
        <f>TEXT(mergedcleandataset[[#This Row],[date]],"dddd")</f>
        <v>Thursday</v>
      </c>
      <c r="W2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6" spans="1:23" x14ac:dyDescent="0.25">
      <c r="A296">
        <v>295</v>
      </c>
      <c r="B296" s="1">
        <v>40556</v>
      </c>
      <c r="C296">
        <v>1</v>
      </c>
      <c r="D296" t="str">
        <f>TEXT(mergedcleandataset[[#This Row],[dteday]],"yyyy")</f>
        <v>2011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s="2">
        <f>DATE(mergedcleandataset[[#This Row],[yr]],mergedcleandataset[[#This Row],[mnth]],mergedcleandataset[[#This Row],[day]])</f>
        <v>40556</v>
      </c>
      <c r="R296">
        <f>DAY(mergedcleandataset[[#This Row],[dteday]])</f>
        <v>13</v>
      </c>
      <c r="S296" t="str">
        <f>IF(mergedcleandataset[[#This Row],[weekday]]&gt;=5,"Yes","No")</f>
        <v>No</v>
      </c>
      <c r="T296" t="b">
        <f>ISBLANK(mergedcleandataset[[#This Row],[atemp]])</f>
        <v>0</v>
      </c>
      <c r="U296" t="str">
        <f t="shared" si="4"/>
        <v>Spring</v>
      </c>
      <c r="V296" t="str">
        <f>TEXT(mergedcleandataset[[#This Row],[date]],"dddd")</f>
        <v>Thursday</v>
      </c>
      <c r="W29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7" spans="1:23" x14ac:dyDescent="0.25">
      <c r="A297">
        <v>296</v>
      </c>
      <c r="B297" s="1">
        <v>40556</v>
      </c>
      <c r="C297">
        <v>1</v>
      </c>
      <c r="D297" t="str">
        <f>TEXT(mergedcleandataset[[#This Row],[dteday]],"yyyy")</f>
        <v>2011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s="2">
        <f>DATE(mergedcleandataset[[#This Row],[yr]],mergedcleandataset[[#This Row],[mnth]],mergedcleandataset[[#This Row],[day]])</f>
        <v>40556</v>
      </c>
      <c r="R297">
        <f>DAY(mergedcleandataset[[#This Row],[dteday]])</f>
        <v>13</v>
      </c>
      <c r="S297" t="str">
        <f>IF(mergedcleandataset[[#This Row],[weekday]]&gt;=5,"Yes","No")</f>
        <v>No</v>
      </c>
      <c r="T297" t="b">
        <f>ISBLANK(mergedcleandataset[[#This Row],[atemp]])</f>
        <v>0</v>
      </c>
      <c r="U297" t="str">
        <f t="shared" si="4"/>
        <v>Spring</v>
      </c>
      <c r="V297" t="str">
        <f>TEXT(mergedcleandataset[[#This Row],[date]],"dddd")</f>
        <v>Thursday</v>
      </c>
      <c r="W29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8" spans="1:23" x14ac:dyDescent="0.25">
      <c r="A298">
        <v>297</v>
      </c>
      <c r="B298" s="1">
        <v>40556</v>
      </c>
      <c r="C298">
        <v>1</v>
      </c>
      <c r="D298" t="str">
        <f>TEXT(mergedcleandataset[[#This Row],[dteday]],"yyyy")</f>
        <v>2011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s="2">
        <f>DATE(mergedcleandataset[[#This Row],[yr]],mergedcleandataset[[#This Row],[mnth]],mergedcleandataset[[#This Row],[day]])</f>
        <v>40556</v>
      </c>
      <c r="R298">
        <f>DAY(mergedcleandataset[[#This Row],[dteday]])</f>
        <v>13</v>
      </c>
      <c r="S298" t="str">
        <f>IF(mergedcleandataset[[#This Row],[weekday]]&gt;=5,"Yes","No")</f>
        <v>No</v>
      </c>
      <c r="T298" t="b">
        <f>ISBLANK(mergedcleandataset[[#This Row],[atemp]])</f>
        <v>0</v>
      </c>
      <c r="U298" t="str">
        <f t="shared" si="4"/>
        <v>Spring</v>
      </c>
      <c r="V298" t="str">
        <f>TEXT(mergedcleandataset[[#This Row],[date]],"dddd")</f>
        <v>Thursday</v>
      </c>
      <c r="W29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299" spans="1:23" x14ac:dyDescent="0.25">
      <c r="A299">
        <v>298</v>
      </c>
      <c r="B299" s="1">
        <v>40556</v>
      </c>
      <c r="C299">
        <v>1</v>
      </c>
      <c r="D299" t="str">
        <f>TEXT(mergedcleandataset[[#This Row],[dteday]],"yyyy")</f>
        <v>2011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s="2">
        <f>DATE(mergedcleandataset[[#This Row],[yr]],mergedcleandataset[[#This Row],[mnth]],mergedcleandataset[[#This Row],[day]])</f>
        <v>40556</v>
      </c>
      <c r="R299">
        <f>DAY(mergedcleandataset[[#This Row],[dteday]])</f>
        <v>13</v>
      </c>
      <c r="S299" t="str">
        <f>IF(mergedcleandataset[[#This Row],[weekday]]&gt;=5,"Yes","No")</f>
        <v>No</v>
      </c>
      <c r="T299" t="b">
        <f>ISBLANK(mergedcleandataset[[#This Row],[atemp]])</f>
        <v>0</v>
      </c>
      <c r="U299" t="str">
        <f t="shared" si="4"/>
        <v>Spring</v>
      </c>
      <c r="V299" t="str">
        <f>TEXT(mergedcleandataset[[#This Row],[date]],"dddd")</f>
        <v>Thursday</v>
      </c>
      <c r="W2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0" spans="1:23" x14ac:dyDescent="0.25">
      <c r="A300">
        <v>299</v>
      </c>
      <c r="B300" s="1">
        <v>40556</v>
      </c>
      <c r="C300">
        <v>1</v>
      </c>
      <c r="D300" t="str">
        <f>TEXT(mergedcleandataset[[#This Row],[dteday]],"yyyy")</f>
        <v>2011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s="2">
        <f>DATE(mergedcleandataset[[#This Row],[yr]],mergedcleandataset[[#This Row],[mnth]],mergedcleandataset[[#This Row],[day]])</f>
        <v>40556</v>
      </c>
      <c r="R300">
        <f>DAY(mergedcleandataset[[#This Row],[dteday]])</f>
        <v>13</v>
      </c>
      <c r="S300" t="str">
        <f>IF(mergedcleandataset[[#This Row],[weekday]]&gt;=5,"Yes","No")</f>
        <v>No</v>
      </c>
      <c r="T300" t="b">
        <f>ISBLANK(mergedcleandataset[[#This Row],[atemp]])</f>
        <v>0</v>
      </c>
      <c r="U300" t="str">
        <f t="shared" si="4"/>
        <v>Spring</v>
      </c>
      <c r="V300" t="str">
        <f>TEXT(mergedcleandataset[[#This Row],[date]],"dddd")</f>
        <v>Thursday</v>
      </c>
      <c r="W3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1" spans="1:23" x14ac:dyDescent="0.25">
      <c r="A301">
        <v>300</v>
      </c>
      <c r="B301" s="1">
        <v>40556</v>
      </c>
      <c r="C301">
        <v>1</v>
      </c>
      <c r="D301" t="str">
        <f>TEXT(mergedcleandataset[[#This Row],[dteday]],"yyyy")</f>
        <v>2011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s="2">
        <f>DATE(mergedcleandataset[[#This Row],[yr]],mergedcleandataset[[#This Row],[mnth]],mergedcleandataset[[#This Row],[day]])</f>
        <v>40556</v>
      </c>
      <c r="R301">
        <f>DAY(mergedcleandataset[[#This Row],[dteday]])</f>
        <v>13</v>
      </c>
      <c r="S301" t="str">
        <f>IF(mergedcleandataset[[#This Row],[weekday]]&gt;=5,"Yes","No")</f>
        <v>No</v>
      </c>
      <c r="T301" t="b">
        <f>ISBLANK(mergedcleandataset[[#This Row],[atemp]])</f>
        <v>0</v>
      </c>
      <c r="U301" t="str">
        <f t="shared" si="4"/>
        <v>Spring</v>
      </c>
      <c r="V301" t="str">
        <f>TEXT(mergedcleandataset[[#This Row],[date]],"dddd")</f>
        <v>Thursday</v>
      </c>
      <c r="W3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2" spans="1:23" x14ac:dyDescent="0.25">
      <c r="A302">
        <v>301</v>
      </c>
      <c r="B302" s="1">
        <v>40556</v>
      </c>
      <c r="C302">
        <v>1</v>
      </c>
      <c r="D302" t="str">
        <f>TEXT(mergedcleandataset[[#This Row],[dteday]],"yyyy")</f>
        <v>2011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s="2">
        <f>DATE(mergedcleandataset[[#This Row],[yr]],mergedcleandataset[[#This Row],[mnth]],mergedcleandataset[[#This Row],[day]])</f>
        <v>40556</v>
      </c>
      <c r="R302">
        <f>DAY(mergedcleandataset[[#This Row],[dteday]])</f>
        <v>13</v>
      </c>
      <c r="S302" t="str">
        <f>IF(mergedcleandataset[[#This Row],[weekday]]&gt;=5,"Yes","No")</f>
        <v>No</v>
      </c>
      <c r="T302" t="b">
        <f>ISBLANK(mergedcleandataset[[#This Row],[atemp]])</f>
        <v>0</v>
      </c>
      <c r="U302" t="str">
        <f t="shared" si="4"/>
        <v>Spring</v>
      </c>
      <c r="V302" t="str">
        <f>TEXT(mergedcleandataset[[#This Row],[date]],"dddd")</f>
        <v>Thursday</v>
      </c>
      <c r="W30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3" spans="1:23" x14ac:dyDescent="0.25">
      <c r="A303">
        <v>302</v>
      </c>
      <c r="B303" s="1">
        <v>40557</v>
      </c>
      <c r="C303">
        <v>1</v>
      </c>
      <c r="D303" t="str">
        <f>TEXT(mergedcleandataset[[#This Row],[dteday]],"yyyy")</f>
        <v>2011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s="2">
        <f>DATE(mergedcleandataset[[#This Row],[yr]],mergedcleandataset[[#This Row],[mnth]],mergedcleandataset[[#This Row],[day]])</f>
        <v>40557</v>
      </c>
      <c r="R303">
        <f>DAY(mergedcleandataset[[#This Row],[dteday]])</f>
        <v>14</v>
      </c>
      <c r="S303" t="str">
        <f>IF(mergedcleandataset[[#This Row],[weekday]]&gt;=5,"Yes","No")</f>
        <v>Yes</v>
      </c>
      <c r="T303" t="b">
        <f>ISBLANK(mergedcleandataset[[#This Row],[atemp]])</f>
        <v>0</v>
      </c>
      <c r="U303" t="str">
        <f t="shared" si="4"/>
        <v>Spring</v>
      </c>
      <c r="V303" t="str">
        <f>TEXT(mergedcleandataset[[#This Row],[date]],"dddd")</f>
        <v>Friday</v>
      </c>
      <c r="W30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4" spans="1:23" x14ac:dyDescent="0.25">
      <c r="A304">
        <v>303</v>
      </c>
      <c r="B304" s="1">
        <v>40557</v>
      </c>
      <c r="C304">
        <v>1</v>
      </c>
      <c r="D304" t="str">
        <f>TEXT(mergedcleandataset[[#This Row],[dteday]],"yyyy")</f>
        <v>2011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s="2">
        <f>DATE(mergedcleandataset[[#This Row],[yr]],mergedcleandataset[[#This Row],[mnth]],mergedcleandataset[[#This Row],[day]])</f>
        <v>40557</v>
      </c>
      <c r="R304">
        <f>DAY(mergedcleandataset[[#This Row],[dteday]])</f>
        <v>14</v>
      </c>
      <c r="S304" t="str">
        <f>IF(mergedcleandataset[[#This Row],[weekday]]&gt;=5,"Yes","No")</f>
        <v>Yes</v>
      </c>
      <c r="T304" t="b">
        <f>ISBLANK(mergedcleandataset[[#This Row],[atemp]])</f>
        <v>0</v>
      </c>
      <c r="U304" t="str">
        <f t="shared" si="4"/>
        <v>Spring</v>
      </c>
      <c r="V304" t="str">
        <f>TEXT(mergedcleandataset[[#This Row],[date]],"dddd")</f>
        <v>Friday</v>
      </c>
      <c r="W30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5" spans="1:23" x14ac:dyDescent="0.25">
      <c r="A305">
        <v>304</v>
      </c>
      <c r="B305" s="1">
        <v>40557</v>
      </c>
      <c r="C305">
        <v>1</v>
      </c>
      <c r="D305" t="str">
        <f>TEXT(mergedcleandataset[[#This Row],[dteday]],"yyyy")</f>
        <v>2011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s="2">
        <f>DATE(mergedcleandataset[[#This Row],[yr]],mergedcleandataset[[#This Row],[mnth]],mergedcleandataset[[#This Row],[day]])</f>
        <v>40557</v>
      </c>
      <c r="R305">
        <f>DAY(mergedcleandataset[[#This Row],[dteday]])</f>
        <v>14</v>
      </c>
      <c r="S305" t="str">
        <f>IF(mergedcleandataset[[#This Row],[weekday]]&gt;=5,"Yes","No")</f>
        <v>Yes</v>
      </c>
      <c r="T305" t="b">
        <f>ISBLANK(mergedcleandataset[[#This Row],[atemp]])</f>
        <v>0</v>
      </c>
      <c r="U305" t="str">
        <f t="shared" si="4"/>
        <v>Spring</v>
      </c>
      <c r="V305" t="str">
        <f>TEXT(mergedcleandataset[[#This Row],[date]],"dddd")</f>
        <v>Friday</v>
      </c>
      <c r="W30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6" spans="1:23" x14ac:dyDescent="0.25">
      <c r="A306">
        <v>305</v>
      </c>
      <c r="B306" s="1">
        <v>40557</v>
      </c>
      <c r="C306">
        <v>1</v>
      </c>
      <c r="D306" t="str">
        <f>TEXT(mergedcleandataset[[#This Row],[dteday]],"yyyy")</f>
        <v>2011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s="2">
        <f>DATE(mergedcleandataset[[#This Row],[yr]],mergedcleandataset[[#This Row],[mnth]],mergedcleandataset[[#This Row],[day]])</f>
        <v>40557</v>
      </c>
      <c r="R306">
        <f>DAY(mergedcleandataset[[#This Row],[dteday]])</f>
        <v>14</v>
      </c>
      <c r="S306" t="str">
        <f>IF(mergedcleandataset[[#This Row],[weekday]]&gt;=5,"Yes","No")</f>
        <v>Yes</v>
      </c>
      <c r="T306" t="b">
        <f>ISBLANK(mergedcleandataset[[#This Row],[atemp]])</f>
        <v>0</v>
      </c>
      <c r="U306" t="str">
        <f t="shared" si="4"/>
        <v>Spring</v>
      </c>
      <c r="V306" t="str">
        <f>TEXT(mergedcleandataset[[#This Row],[date]],"dddd")</f>
        <v>Friday</v>
      </c>
      <c r="W30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7" spans="1:23" x14ac:dyDescent="0.25">
      <c r="A307">
        <v>306</v>
      </c>
      <c r="B307" s="1">
        <v>40557</v>
      </c>
      <c r="C307">
        <v>1</v>
      </c>
      <c r="D307" t="str">
        <f>TEXT(mergedcleandataset[[#This Row],[dteday]],"yyyy")</f>
        <v>2011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s="2">
        <f>DATE(mergedcleandataset[[#This Row],[yr]],mergedcleandataset[[#This Row],[mnth]],mergedcleandataset[[#This Row],[day]])</f>
        <v>40557</v>
      </c>
      <c r="R307">
        <f>DAY(mergedcleandataset[[#This Row],[dteday]])</f>
        <v>14</v>
      </c>
      <c r="S307" t="str">
        <f>IF(mergedcleandataset[[#This Row],[weekday]]&gt;=5,"Yes","No")</f>
        <v>Yes</v>
      </c>
      <c r="T307" t="b">
        <f>ISBLANK(mergedcleandataset[[#This Row],[atemp]])</f>
        <v>0</v>
      </c>
      <c r="U307" t="str">
        <f t="shared" si="4"/>
        <v>Spring</v>
      </c>
      <c r="V307" t="str">
        <f>TEXT(mergedcleandataset[[#This Row],[date]],"dddd")</f>
        <v>Friday</v>
      </c>
      <c r="W30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8" spans="1:23" x14ac:dyDescent="0.25">
      <c r="A308">
        <v>307</v>
      </c>
      <c r="B308" s="1">
        <v>40557</v>
      </c>
      <c r="C308">
        <v>1</v>
      </c>
      <c r="D308" t="str">
        <f>TEXT(mergedcleandataset[[#This Row],[dteday]],"yyyy")</f>
        <v>2011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s="2">
        <f>DATE(mergedcleandataset[[#This Row],[yr]],mergedcleandataset[[#This Row],[mnth]],mergedcleandataset[[#This Row],[day]])</f>
        <v>40557</v>
      </c>
      <c r="R308">
        <f>DAY(mergedcleandataset[[#This Row],[dteday]])</f>
        <v>14</v>
      </c>
      <c r="S308" t="str">
        <f>IF(mergedcleandataset[[#This Row],[weekday]]&gt;=5,"Yes","No")</f>
        <v>Yes</v>
      </c>
      <c r="T308" t="b">
        <f>ISBLANK(mergedcleandataset[[#This Row],[atemp]])</f>
        <v>0</v>
      </c>
      <c r="U308" t="str">
        <f t="shared" si="4"/>
        <v>Spring</v>
      </c>
      <c r="V308" t="str">
        <f>TEXT(mergedcleandataset[[#This Row],[date]],"dddd")</f>
        <v>Friday</v>
      </c>
      <c r="W30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09" spans="1:23" x14ac:dyDescent="0.25">
      <c r="A309">
        <v>308</v>
      </c>
      <c r="B309" s="1">
        <v>40557</v>
      </c>
      <c r="C309">
        <v>1</v>
      </c>
      <c r="D309" t="str">
        <f>TEXT(mergedcleandataset[[#This Row],[dteday]],"yyyy")</f>
        <v>2011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s="2">
        <f>DATE(mergedcleandataset[[#This Row],[yr]],mergedcleandataset[[#This Row],[mnth]],mergedcleandataset[[#This Row],[day]])</f>
        <v>40557</v>
      </c>
      <c r="R309">
        <f>DAY(mergedcleandataset[[#This Row],[dteday]])</f>
        <v>14</v>
      </c>
      <c r="S309" t="str">
        <f>IF(mergedcleandataset[[#This Row],[weekday]]&gt;=5,"Yes","No")</f>
        <v>Yes</v>
      </c>
      <c r="T309" t="b">
        <f>ISBLANK(mergedcleandataset[[#This Row],[atemp]])</f>
        <v>0</v>
      </c>
      <c r="U309" t="str">
        <f t="shared" si="4"/>
        <v>Spring</v>
      </c>
      <c r="V309" t="str">
        <f>TEXT(mergedcleandataset[[#This Row],[date]],"dddd")</f>
        <v>Friday</v>
      </c>
      <c r="W30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0" spans="1:23" x14ac:dyDescent="0.25">
      <c r="A310">
        <v>309</v>
      </c>
      <c r="B310" s="1">
        <v>40557</v>
      </c>
      <c r="C310">
        <v>1</v>
      </c>
      <c r="D310" t="str">
        <f>TEXT(mergedcleandataset[[#This Row],[dteday]],"yyyy")</f>
        <v>2011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s="2">
        <f>DATE(mergedcleandataset[[#This Row],[yr]],mergedcleandataset[[#This Row],[mnth]],mergedcleandataset[[#This Row],[day]])</f>
        <v>40557</v>
      </c>
      <c r="R310">
        <f>DAY(mergedcleandataset[[#This Row],[dteday]])</f>
        <v>14</v>
      </c>
      <c r="S310" t="str">
        <f>IF(mergedcleandataset[[#This Row],[weekday]]&gt;=5,"Yes","No")</f>
        <v>Yes</v>
      </c>
      <c r="T310" t="b">
        <f>ISBLANK(mergedcleandataset[[#This Row],[atemp]])</f>
        <v>0</v>
      </c>
      <c r="U310" t="str">
        <f t="shared" si="4"/>
        <v>Spring</v>
      </c>
      <c r="V310" t="str">
        <f>TEXT(mergedcleandataset[[#This Row],[date]],"dddd")</f>
        <v>Friday</v>
      </c>
      <c r="W3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1" spans="1:23" x14ac:dyDescent="0.25">
      <c r="A311">
        <v>310</v>
      </c>
      <c r="B311" s="1">
        <v>40557</v>
      </c>
      <c r="C311">
        <v>1</v>
      </c>
      <c r="D311" t="str">
        <f>TEXT(mergedcleandataset[[#This Row],[dteday]],"yyyy")</f>
        <v>2011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s="2">
        <f>DATE(mergedcleandataset[[#This Row],[yr]],mergedcleandataset[[#This Row],[mnth]],mergedcleandataset[[#This Row],[day]])</f>
        <v>40557</v>
      </c>
      <c r="R311">
        <f>DAY(mergedcleandataset[[#This Row],[dteday]])</f>
        <v>14</v>
      </c>
      <c r="S311" t="str">
        <f>IF(mergedcleandataset[[#This Row],[weekday]]&gt;=5,"Yes","No")</f>
        <v>Yes</v>
      </c>
      <c r="T311" t="b">
        <f>ISBLANK(mergedcleandataset[[#This Row],[atemp]])</f>
        <v>0</v>
      </c>
      <c r="U311" t="str">
        <f t="shared" si="4"/>
        <v>Spring</v>
      </c>
      <c r="V311" t="str">
        <f>TEXT(mergedcleandataset[[#This Row],[date]],"dddd")</f>
        <v>Friday</v>
      </c>
      <c r="W3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2" spans="1:23" x14ac:dyDescent="0.25">
      <c r="A312">
        <v>311</v>
      </c>
      <c r="B312" s="1">
        <v>40557</v>
      </c>
      <c r="C312">
        <v>1</v>
      </c>
      <c r="D312" t="str">
        <f>TEXT(mergedcleandataset[[#This Row],[dteday]],"yyyy")</f>
        <v>2011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s="2">
        <f>DATE(mergedcleandataset[[#This Row],[yr]],mergedcleandataset[[#This Row],[mnth]],mergedcleandataset[[#This Row],[day]])</f>
        <v>40557</v>
      </c>
      <c r="R312">
        <f>DAY(mergedcleandataset[[#This Row],[dteday]])</f>
        <v>14</v>
      </c>
      <c r="S312" t="str">
        <f>IF(mergedcleandataset[[#This Row],[weekday]]&gt;=5,"Yes","No")</f>
        <v>Yes</v>
      </c>
      <c r="T312" t="b">
        <f>ISBLANK(mergedcleandataset[[#This Row],[atemp]])</f>
        <v>0</v>
      </c>
      <c r="U312" t="str">
        <f t="shared" si="4"/>
        <v>Spring</v>
      </c>
      <c r="V312" t="str">
        <f>TEXT(mergedcleandataset[[#This Row],[date]],"dddd")</f>
        <v>Friday</v>
      </c>
      <c r="W3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3" spans="1:23" x14ac:dyDescent="0.25">
      <c r="A313">
        <v>312</v>
      </c>
      <c r="B313" s="1">
        <v>40557</v>
      </c>
      <c r="C313">
        <v>1</v>
      </c>
      <c r="D313" t="str">
        <f>TEXT(mergedcleandataset[[#This Row],[dteday]],"yyyy")</f>
        <v>2011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s="2">
        <f>DATE(mergedcleandataset[[#This Row],[yr]],mergedcleandataset[[#This Row],[mnth]],mergedcleandataset[[#This Row],[day]])</f>
        <v>40557</v>
      </c>
      <c r="R313">
        <f>DAY(mergedcleandataset[[#This Row],[dteday]])</f>
        <v>14</v>
      </c>
      <c r="S313" t="str">
        <f>IF(mergedcleandataset[[#This Row],[weekday]]&gt;=5,"Yes","No")</f>
        <v>Yes</v>
      </c>
      <c r="T313" t="b">
        <f>ISBLANK(mergedcleandataset[[#This Row],[atemp]])</f>
        <v>0</v>
      </c>
      <c r="U313" t="str">
        <f t="shared" si="4"/>
        <v>Spring</v>
      </c>
      <c r="V313" t="str">
        <f>TEXT(mergedcleandataset[[#This Row],[date]],"dddd")</f>
        <v>Friday</v>
      </c>
      <c r="W3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4" spans="1:23" x14ac:dyDescent="0.25">
      <c r="A314">
        <v>313</v>
      </c>
      <c r="B314" s="1">
        <v>40557</v>
      </c>
      <c r="C314">
        <v>1</v>
      </c>
      <c r="D314" t="str">
        <f>TEXT(mergedcleandataset[[#This Row],[dteday]],"yyyy")</f>
        <v>2011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s="2">
        <f>DATE(mergedcleandataset[[#This Row],[yr]],mergedcleandataset[[#This Row],[mnth]],mergedcleandataset[[#This Row],[day]])</f>
        <v>40557</v>
      </c>
      <c r="R314">
        <f>DAY(mergedcleandataset[[#This Row],[dteday]])</f>
        <v>14</v>
      </c>
      <c r="S314" t="str">
        <f>IF(mergedcleandataset[[#This Row],[weekday]]&gt;=5,"Yes","No")</f>
        <v>Yes</v>
      </c>
      <c r="T314" t="b">
        <f>ISBLANK(mergedcleandataset[[#This Row],[atemp]])</f>
        <v>0</v>
      </c>
      <c r="U314" t="str">
        <f t="shared" si="4"/>
        <v>Spring</v>
      </c>
      <c r="V314" t="str">
        <f>TEXT(mergedcleandataset[[#This Row],[date]],"dddd")</f>
        <v>Friday</v>
      </c>
      <c r="W3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5" spans="1:23" x14ac:dyDescent="0.25">
      <c r="A315">
        <v>314</v>
      </c>
      <c r="B315" s="1">
        <v>40557</v>
      </c>
      <c r="C315">
        <v>1</v>
      </c>
      <c r="D315" t="str">
        <f>TEXT(mergedcleandataset[[#This Row],[dteday]],"yyyy")</f>
        <v>2011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s="2">
        <f>DATE(mergedcleandataset[[#This Row],[yr]],mergedcleandataset[[#This Row],[mnth]],mergedcleandataset[[#This Row],[day]])</f>
        <v>40557</v>
      </c>
      <c r="R315">
        <f>DAY(mergedcleandataset[[#This Row],[dteday]])</f>
        <v>14</v>
      </c>
      <c r="S315" t="str">
        <f>IF(mergedcleandataset[[#This Row],[weekday]]&gt;=5,"Yes","No")</f>
        <v>Yes</v>
      </c>
      <c r="T315" t="b">
        <f>ISBLANK(mergedcleandataset[[#This Row],[atemp]])</f>
        <v>0</v>
      </c>
      <c r="U315" t="str">
        <f t="shared" si="4"/>
        <v>Spring</v>
      </c>
      <c r="V315" t="str">
        <f>TEXT(mergedcleandataset[[#This Row],[date]],"dddd")</f>
        <v>Friday</v>
      </c>
      <c r="W3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6" spans="1:23" x14ac:dyDescent="0.25">
      <c r="A316">
        <v>315</v>
      </c>
      <c r="B316" s="1">
        <v>40557</v>
      </c>
      <c r="C316">
        <v>1</v>
      </c>
      <c r="D316" t="str">
        <f>TEXT(mergedcleandataset[[#This Row],[dteday]],"yyyy")</f>
        <v>2011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s="2">
        <f>DATE(mergedcleandataset[[#This Row],[yr]],mergedcleandataset[[#This Row],[mnth]],mergedcleandataset[[#This Row],[day]])</f>
        <v>40557</v>
      </c>
      <c r="R316">
        <f>DAY(mergedcleandataset[[#This Row],[dteday]])</f>
        <v>14</v>
      </c>
      <c r="S316" t="str">
        <f>IF(mergedcleandataset[[#This Row],[weekday]]&gt;=5,"Yes","No")</f>
        <v>Yes</v>
      </c>
      <c r="T316" t="b">
        <f>ISBLANK(mergedcleandataset[[#This Row],[atemp]])</f>
        <v>0</v>
      </c>
      <c r="U316" t="str">
        <f t="shared" si="4"/>
        <v>Spring</v>
      </c>
      <c r="V316" t="str">
        <f>TEXT(mergedcleandataset[[#This Row],[date]],"dddd")</f>
        <v>Friday</v>
      </c>
      <c r="W3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7" spans="1:23" x14ac:dyDescent="0.25">
      <c r="A317">
        <v>316</v>
      </c>
      <c r="B317" s="1">
        <v>40557</v>
      </c>
      <c r="C317">
        <v>1</v>
      </c>
      <c r="D317" t="str">
        <f>TEXT(mergedcleandataset[[#This Row],[dteday]],"yyyy")</f>
        <v>2011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s="2">
        <f>DATE(mergedcleandataset[[#This Row],[yr]],mergedcleandataset[[#This Row],[mnth]],mergedcleandataset[[#This Row],[day]])</f>
        <v>40557</v>
      </c>
      <c r="R317">
        <f>DAY(mergedcleandataset[[#This Row],[dteday]])</f>
        <v>14</v>
      </c>
      <c r="S317" t="str">
        <f>IF(mergedcleandataset[[#This Row],[weekday]]&gt;=5,"Yes","No")</f>
        <v>Yes</v>
      </c>
      <c r="T317" t="b">
        <f>ISBLANK(mergedcleandataset[[#This Row],[atemp]])</f>
        <v>0</v>
      </c>
      <c r="U317" t="str">
        <f t="shared" si="4"/>
        <v>Spring</v>
      </c>
      <c r="V317" t="str">
        <f>TEXT(mergedcleandataset[[#This Row],[date]],"dddd")</f>
        <v>Friday</v>
      </c>
      <c r="W3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8" spans="1:23" x14ac:dyDescent="0.25">
      <c r="A318">
        <v>317</v>
      </c>
      <c r="B318" s="1">
        <v>40557</v>
      </c>
      <c r="C318">
        <v>1</v>
      </c>
      <c r="D318" t="str">
        <f>TEXT(mergedcleandataset[[#This Row],[dteday]],"yyyy")</f>
        <v>2011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s="2">
        <f>DATE(mergedcleandataset[[#This Row],[yr]],mergedcleandataset[[#This Row],[mnth]],mergedcleandataset[[#This Row],[day]])</f>
        <v>40557</v>
      </c>
      <c r="R318">
        <f>DAY(mergedcleandataset[[#This Row],[dteday]])</f>
        <v>14</v>
      </c>
      <c r="S318" t="str">
        <f>IF(mergedcleandataset[[#This Row],[weekday]]&gt;=5,"Yes","No")</f>
        <v>Yes</v>
      </c>
      <c r="T318" t="b">
        <f>ISBLANK(mergedcleandataset[[#This Row],[atemp]])</f>
        <v>0</v>
      </c>
      <c r="U318" t="str">
        <f t="shared" si="4"/>
        <v>Spring</v>
      </c>
      <c r="V318" t="str">
        <f>TEXT(mergedcleandataset[[#This Row],[date]],"dddd")</f>
        <v>Friday</v>
      </c>
      <c r="W3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19" spans="1:23" x14ac:dyDescent="0.25">
      <c r="A319">
        <v>318</v>
      </c>
      <c r="B319" s="1">
        <v>40557</v>
      </c>
      <c r="C319">
        <v>1</v>
      </c>
      <c r="D319" t="str">
        <f>TEXT(mergedcleandataset[[#This Row],[dteday]],"yyyy")</f>
        <v>2011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s="2">
        <f>DATE(mergedcleandataset[[#This Row],[yr]],mergedcleandataset[[#This Row],[mnth]],mergedcleandataset[[#This Row],[day]])</f>
        <v>40557</v>
      </c>
      <c r="R319">
        <f>DAY(mergedcleandataset[[#This Row],[dteday]])</f>
        <v>14</v>
      </c>
      <c r="S319" t="str">
        <f>IF(mergedcleandataset[[#This Row],[weekday]]&gt;=5,"Yes","No")</f>
        <v>Yes</v>
      </c>
      <c r="T319" t="b">
        <f>ISBLANK(mergedcleandataset[[#This Row],[atemp]])</f>
        <v>0</v>
      </c>
      <c r="U319" t="str">
        <f t="shared" si="4"/>
        <v>Spring</v>
      </c>
      <c r="V319" t="str">
        <f>TEXT(mergedcleandataset[[#This Row],[date]],"dddd")</f>
        <v>Friday</v>
      </c>
      <c r="W3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20" spans="1:23" x14ac:dyDescent="0.25">
      <c r="A320">
        <v>319</v>
      </c>
      <c r="B320" s="1">
        <v>40557</v>
      </c>
      <c r="C320">
        <v>1</v>
      </c>
      <c r="D320" t="str">
        <f>TEXT(mergedcleandataset[[#This Row],[dteday]],"yyyy")</f>
        <v>2011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s="2">
        <f>DATE(mergedcleandataset[[#This Row],[yr]],mergedcleandataset[[#This Row],[mnth]],mergedcleandataset[[#This Row],[day]])</f>
        <v>40557</v>
      </c>
      <c r="R320">
        <f>DAY(mergedcleandataset[[#This Row],[dteday]])</f>
        <v>14</v>
      </c>
      <c r="S320" t="str">
        <f>IF(mergedcleandataset[[#This Row],[weekday]]&gt;=5,"Yes","No")</f>
        <v>Yes</v>
      </c>
      <c r="T320" t="b">
        <f>ISBLANK(mergedcleandataset[[#This Row],[atemp]])</f>
        <v>0</v>
      </c>
      <c r="U320" t="str">
        <f t="shared" si="4"/>
        <v>Spring</v>
      </c>
      <c r="V320" t="str">
        <f>TEXT(mergedcleandataset[[#This Row],[date]],"dddd")</f>
        <v>Friday</v>
      </c>
      <c r="W32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21" spans="1:23" x14ac:dyDescent="0.25">
      <c r="A321">
        <v>320</v>
      </c>
      <c r="B321" s="1">
        <v>40557</v>
      </c>
      <c r="C321">
        <v>1</v>
      </c>
      <c r="D321" t="str">
        <f>TEXT(mergedcleandataset[[#This Row],[dteday]],"yyyy")</f>
        <v>2011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s="2">
        <f>DATE(mergedcleandataset[[#This Row],[yr]],mergedcleandataset[[#This Row],[mnth]],mergedcleandataset[[#This Row],[day]])</f>
        <v>40557</v>
      </c>
      <c r="R321">
        <f>DAY(mergedcleandataset[[#This Row],[dteday]])</f>
        <v>14</v>
      </c>
      <c r="S321" t="str">
        <f>IF(mergedcleandataset[[#This Row],[weekday]]&gt;=5,"Yes","No")</f>
        <v>Yes</v>
      </c>
      <c r="T321" t="b">
        <f>ISBLANK(mergedcleandataset[[#This Row],[atemp]])</f>
        <v>0</v>
      </c>
      <c r="U321" t="str">
        <f t="shared" si="4"/>
        <v>Spring</v>
      </c>
      <c r="V321" t="str">
        <f>TEXT(mergedcleandataset[[#This Row],[date]],"dddd")</f>
        <v>Friday</v>
      </c>
      <c r="W32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22" spans="1:23" x14ac:dyDescent="0.25">
      <c r="A322">
        <v>321</v>
      </c>
      <c r="B322" s="1">
        <v>40557</v>
      </c>
      <c r="C322">
        <v>1</v>
      </c>
      <c r="D322" t="str">
        <f>TEXT(mergedcleandataset[[#This Row],[dteday]],"yyyy")</f>
        <v>2011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s="2">
        <f>DATE(mergedcleandataset[[#This Row],[yr]],mergedcleandataset[[#This Row],[mnth]],mergedcleandataset[[#This Row],[day]])</f>
        <v>40557</v>
      </c>
      <c r="R322">
        <f>DAY(mergedcleandataset[[#This Row],[dteday]])</f>
        <v>14</v>
      </c>
      <c r="S322" t="str">
        <f>IF(mergedcleandataset[[#This Row],[weekday]]&gt;=5,"Yes","No")</f>
        <v>Yes</v>
      </c>
      <c r="T322" t="b">
        <f>ISBLANK(mergedcleandataset[[#This Row],[atemp]])</f>
        <v>0</v>
      </c>
      <c r="U322" t="str">
        <f t="shared" ref="U322:U385" si="5">IF(C322=1,"Spring",
IF(C322=2,"Summer",
IF(C322=3,"Fall",
IF(C322=4,"Winter","Unknown"))))</f>
        <v>Spring</v>
      </c>
      <c r="V322" t="str">
        <f>TEXT(mergedcleandataset[[#This Row],[date]],"dddd")</f>
        <v>Friday</v>
      </c>
      <c r="W32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23" spans="1:23" x14ac:dyDescent="0.25">
      <c r="A323">
        <v>322</v>
      </c>
      <c r="B323" s="1">
        <v>40557</v>
      </c>
      <c r="C323">
        <v>1</v>
      </c>
      <c r="D323" t="str">
        <f>TEXT(mergedcleandataset[[#This Row],[dteday]],"yyyy")</f>
        <v>2011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s="2">
        <f>DATE(mergedcleandataset[[#This Row],[yr]],mergedcleandataset[[#This Row],[mnth]],mergedcleandataset[[#This Row],[day]])</f>
        <v>40557</v>
      </c>
      <c r="R323">
        <f>DAY(mergedcleandataset[[#This Row],[dteday]])</f>
        <v>14</v>
      </c>
      <c r="S323" t="str">
        <f>IF(mergedcleandataset[[#This Row],[weekday]]&gt;=5,"Yes","No")</f>
        <v>Yes</v>
      </c>
      <c r="T323" t="b">
        <f>ISBLANK(mergedcleandataset[[#This Row],[atemp]])</f>
        <v>0</v>
      </c>
      <c r="U323" t="str">
        <f t="shared" si="5"/>
        <v>Spring</v>
      </c>
      <c r="V323" t="str">
        <f>TEXT(mergedcleandataset[[#This Row],[date]],"dddd")</f>
        <v>Friday</v>
      </c>
      <c r="W32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24" spans="1:23" x14ac:dyDescent="0.25">
      <c r="A324">
        <v>323</v>
      </c>
      <c r="B324" s="1">
        <v>40557</v>
      </c>
      <c r="C324">
        <v>1</v>
      </c>
      <c r="D324" t="str">
        <f>TEXT(mergedcleandataset[[#This Row],[dteday]],"yyyy")</f>
        <v>2011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s="2">
        <f>DATE(mergedcleandataset[[#This Row],[yr]],mergedcleandataset[[#This Row],[mnth]],mergedcleandataset[[#This Row],[day]])</f>
        <v>40557</v>
      </c>
      <c r="R324">
        <f>DAY(mergedcleandataset[[#This Row],[dteday]])</f>
        <v>14</v>
      </c>
      <c r="S324" t="str">
        <f>IF(mergedcleandataset[[#This Row],[weekday]]&gt;=5,"Yes","No")</f>
        <v>Yes</v>
      </c>
      <c r="T324" t="b">
        <f>ISBLANK(mergedcleandataset[[#This Row],[atemp]])</f>
        <v>0</v>
      </c>
      <c r="U324" t="str">
        <f t="shared" si="5"/>
        <v>Spring</v>
      </c>
      <c r="V324" t="str">
        <f>TEXT(mergedcleandataset[[#This Row],[date]],"dddd")</f>
        <v>Friday</v>
      </c>
      <c r="W32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25" spans="1:23" x14ac:dyDescent="0.25">
      <c r="A325">
        <v>324</v>
      </c>
      <c r="B325" s="1">
        <v>40557</v>
      </c>
      <c r="C325">
        <v>1</v>
      </c>
      <c r="D325" t="str">
        <f>TEXT(mergedcleandataset[[#This Row],[dteday]],"yyyy")</f>
        <v>2011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s="2">
        <f>DATE(mergedcleandataset[[#This Row],[yr]],mergedcleandataset[[#This Row],[mnth]],mergedcleandataset[[#This Row],[day]])</f>
        <v>40557</v>
      </c>
      <c r="R325">
        <f>DAY(mergedcleandataset[[#This Row],[dteday]])</f>
        <v>14</v>
      </c>
      <c r="S325" t="str">
        <f>IF(mergedcleandataset[[#This Row],[weekday]]&gt;=5,"Yes","No")</f>
        <v>Yes</v>
      </c>
      <c r="T325" t="b">
        <f>ISBLANK(mergedcleandataset[[#This Row],[atemp]])</f>
        <v>0</v>
      </c>
      <c r="U325" t="str">
        <f t="shared" si="5"/>
        <v>Spring</v>
      </c>
      <c r="V325" t="str">
        <f>TEXT(mergedcleandataset[[#This Row],[date]],"dddd")</f>
        <v>Friday</v>
      </c>
      <c r="W32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26" spans="1:23" x14ac:dyDescent="0.25">
      <c r="A326">
        <v>325</v>
      </c>
      <c r="B326" s="1">
        <v>40558</v>
      </c>
      <c r="C326">
        <v>1</v>
      </c>
      <c r="D326" t="str">
        <f>TEXT(mergedcleandataset[[#This Row],[dteday]],"yyyy")</f>
        <v>2011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s="2">
        <f>DATE(mergedcleandataset[[#This Row],[yr]],mergedcleandataset[[#This Row],[mnth]],mergedcleandataset[[#This Row],[day]])</f>
        <v>40558</v>
      </c>
      <c r="R326">
        <f>DAY(mergedcleandataset[[#This Row],[dteday]])</f>
        <v>15</v>
      </c>
      <c r="S326" t="str">
        <f>IF(mergedcleandataset[[#This Row],[weekday]]&gt;=5,"Yes","No")</f>
        <v>Yes</v>
      </c>
      <c r="T326" t="b">
        <f>ISBLANK(mergedcleandataset[[#This Row],[atemp]])</f>
        <v>0</v>
      </c>
      <c r="U326" t="str">
        <f t="shared" si="5"/>
        <v>Spring</v>
      </c>
      <c r="V326" t="str">
        <f>TEXT(mergedcleandataset[[#This Row],[date]],"dddd")</f>
        <v>Saturday</v>
      </c>
      <c r="W3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27" spans="1:23" x14ac:dyDescent="0.25">
      <c r="A327">
        <v>326</v>
      </c>
      <c r="B327" s="1">
        <v>40558</v>
      </c>
      <c r="C327">
        <v>1</v>
      </c>
      <c r="D327" t="str">
        <f>TEXT(mergedcleandataset[[#This Row],[dteday]],"yyyy")</f>
        <v>2011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s="2">
        <f>DATE(mergedcleandataset[[#This Row],[yr]],mergedcleandataset[[#This Row],[mnth]],mergedcleandataset[[#This Row],[day]])</f>
        <v>40558</v>
      </c>
      <c r="R327">
        <f>DAY(mergedcleandataset[[#This Row],[dteday]])</f>
        <v>15</v>
      </c>
      <c r="S327" t="str">
        <f>IF(mergedcleandataset[[#This Row],[weekday]]&gt;=5,"Yes","No")</f>
        <v>Yes</v>
      </c>
      <c r="T327" t="b">
        <f>ISBLANK(mergedcleandataset[[#This Row],[atemp]])</f>
        <v>0</v>
      </c>
      <c r="U327" t="str">
        <f t="shared" si="5"/>
        <v>Spring</v>
      </c>
      <c r="V327" t="str">
        <f>TEXT(mergedcleandataset[[#This Row],[date]],"dddd")</f>
        <v>Saturday</v>
      </c>
      <c r="W32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28" spans="1:23" x14ac:dyDescent="0.25">
      <c r="A328">
        <v>327</v>
      </c>
      <c r="B328" s="1">
        <v>40558</v>
      </c>
      <c r="C328">
        <v>1</v>
      </c>
      <c r="D328" t="str">
        <f>TEXT(mergedcleandataset[[#This Row],[dteday]],"yyyy")</f>
        <v>2011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s="2">
        <f>DATE(mergedcleandataset[[#This Row],[yr]],mergedcleandataset[[#This Row],[mnth]],mergedcleandataset[[#This Row],[day]])</f>
        <v>40558</v>
      </c>
      <c r="R328">
        <f>DAY(mergedcleandataset[[#This Row],[dteday]])</f>
        <v>15</v>
      </c>
      <c r="S328" t="str">
        <f>IF(mergedcleandataset[[#This Row],[weekday]]&gt;=5,"Yes","No")</f>
        <v>Yes</v>
      </c>
      <c r="T328" t="b">
        <f>ISBLANK(mergedcleandataset[[#This Row],[atemp]])</f>
        <v>0</v>
      </c>
      <c r="U328" t="str">
        <f t="shared" si="5"/>
        <v>Spring</v>
      </c>
      <c r="V328" t="str">
        <f>TEXT(mergedcleandataset[[#This Row],[date]],"dddd")</f>
        <v>Saturday</v>
      </c>
      <c r="W32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29" spans="1:23" x14ac:dyDescent="0.25">
      <c r="A329">
        <v>328</v>
      </c>
      <c r="B329" s="1">
        <v>40558</v>
      </c>
      <c r="C329">
        <v>1</v>
      </c>
      <c r="D329" t="str">
        <f>TEXT(mergedcleandataset[[#This Row],[dteday]],"yyyy")</f>
        <v>2011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s="2">
        <f>DATE(mergedcleandataset[[#This Row],[yr]],mergedcleandataset[[#This Row],[mnth]],mergedcleandataset[[#This Row],[day]])</f>
        <v>40558</v>
      </c>
      <c r="R329">
        <f>DAY(mergedcleandataset[[#This Row],[dteday]])</f>
        <v>15</v>
      </c>
      <c r="S329" t="str">
        <f>IF(mergedcleandataset[[#This Row],[weekday]]&gt;=5,"Yes","No")</f>
        <v>Yes</v>
      </c>
      <c r="T329" t="b">
        <f>ISBLANK(mergedcleandataset[[#This Row],[atemp]])</f>
        <v>0</v>
      </c>
      <c r="U329" t="str">
        <f t="shared" si="5"/>
        <v>Spring</v>
      </c>
      <c r="V329" t="str">
        <f>TEXT(mergedcleandataset[[#This Row],[date]],"dddd")</f>
        <v>Saturday</v>
      </c>
      <c r="W32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30" spans="1:23" x14ac:dyDescent="0.25">
      <c r="A330">
        <v>329</v>
      </c>
      <c r="B330" s="1">
        <v>40558</v>
      </c>
      <c r="C330">
        <v>1</v>
      </c>
      <c r="D330" t="str">
        <f>TEXT(mergedcleandataset[[#This Row],[dteday]],"yyyy")</f>
        <v>2011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s="2">
        <f>DATE(mergedcleandataset[[#This Row],[yr]],mergedcleandataset[[#This Row],[mnth]],mergedcleandataset[[#This Row],[day]])</f>
        <v>40558</v>
      </c>
      <c r="R330">
        <f>DAY(mergedcleandataset[[#This Row],[dteday]])</f>
        <v>15</v>
      </c>
      <c r="S330" t="str">
        <f>IF(mergedcleandataset[[#This Row],[weekday]]&gt;=5,"Yes","No")</f>
        <v>Yes</v>
      </c>
      <c r="T330" t="b">
        <f>ISBLANK(mergedcleandataset[[#This Row],[atemp]])</f>
        <v>0</v>
      </c>
      <c r="U330" t="str">
        <f t="shared" si="5"/>
        <v>Spring</v>
      </c>
      <c r="V330" t="str">
        <f>TEXT(mergedcleandataset[[#This Row],[date]],"dddd")</f>
        <v>Saturday</v>
      </c>
      <c r="W33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31" spans="1:23" x14ac:dyDescent="0.25">
      <c r="A331">
        <v>330</v>
      </c>
      <c r="B331" s="1">
        <v>40558</v>
      </c>
      <c r="C331">
        <v>1</v>
      </c>
      <c r="D331" t="str">
        <f>TEXT(mergedcleandataset[[#This Row],[dteday]],"yyyy")</f>
        <v>2011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s="2">
        <f>DATE(mergedcleandataset[[#This Row],[yr]],mergedcleandataset[[#This Row],[mnth]],mergedcleandataset[[#This Row],[day]])</f>
        <v>40558</v>
      </c>
      <c r="R331">
        <f>DAY(mergedcleandataset[[#This Row],[dteday]])</f>
        <v>15</v>
      </c>
      <c r="S331" t="str">
        <f>IF(mergedcleandataset[[#This Row],[weekday]]&gt;=5,"Yes","No")</f>
        <v>Yes</v>
      </c>
      <c r="T331" t="b">
        <f>ISBLANK(mergedcleandataset[[#This Row],[atemp]])</f>
        <v>0</v>
      </c>
      <c r="U331" t="str">
        <f t="shared" si="5"/>
        <v>Spring</v>
      </c>
      <c r="V331" t="str">
        <f>TEXT(mergedcleandataset[[#This Row],[date]],"dddd")</f>
        <v>Saturday</v>
      </c>
      <c r="W3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2" spans="1:23" x14ac:dyDescent="0.25">
      <c r="A332">
        <v>331</v>
      </c>
      <c r="B332" s="1">
        <v>40558</v>
      </c>
      <c r="C332">
        <v>1</v>
      </c>
      <c r="D332" t="str">
        <f>TEXT(mergedcleandataset[[#This Row],[dteday]],"yyyy")</f>
        <v>2011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s="2">
        <f>DATE(mergedcleandataset[[#This Row],[yr]],mergedcleandataset[[#This Row],[mnth]],mergedcleandataset[[#This Row],[day]])</f>
        <v>40558</v>
      </c>
      <c r="R332">
        <f>DAY(mergedcleandataset[[#This Row],[dteday]])</f>
        <v>15</v>
      </c>
      <c r="S332" t="str">
        <f>IF(mergedcleandataset[[#This Row],[weekday]]&gt;=5,"Yes","No")</f>
        <v>Yes</v>
      </c>
      <c r="T332" t="b">
        <f>ISBLANK(mergedcleandataset[[#This Row],[atemp]])</f>
        <v>0</v>
      </c>
      <c r="U332" t="str">
        <f t="shared" si="5"/>
        <v>Spring</v>
      </c>
      <c r="V332" t="str">
        <f>TEXT(mergedcleandataset[[#This Row],[date]],"dddd")</f>
        <v>Saturday</v>
      </c>
      <c r="W3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3" spans="1:23" x14ac:dyDescent="0.25">
      <c r="A333">
        <v>332</v>
      </c>
      <c r="B333" s="1">
        <v>40558</v>
      </c>
      <c r="C333">
        <v>1</v>
      </c>
      <c r="D333" t="str">
        <f>TEXT(mergedcleandataset[[#This Row],[dteday]],"yyyy")</f>
        <v>2011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s="2">
        <f>DATE(mergedcleandataset[[#This Row],[yr]],mergedcleandataset[[#This Row],[mnth]],mergedcleandataset[[#This Row],[day]])</f>
        <v>40558</v>
      </c>
      <c r="R333">
        <f>DAY(mergedcleandataset[[#This Row],[dteday]])</f>
        <v>15</v>
      </c>
      <c r="S333" t="str">
        <f>IF(mergedcleandataset[[#This Row],[weekday]]&gt;=5,"Yes","No")</f>
        <v>Yes</v>
      </c>
      <c r="T333" t="b">
        <f>ISBLANK(mergedcleandataset[[#This Row],[atemp]])</f>
        <v>0</v>
      </c>
      <c r="U333" t="str">
        <f t="shared" si="5"/>
        <v>Spring</v>
      </c>
      <c r="V333" t="str">
        <f>TEXT(mergedcleandataset[[#This Row],[date]],"dddd")</f>
        <v>Saturday</v>
      </c>
      <c r="W3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4" spans="1:23" x14ac:dyDescent="0.25">
      <c r="A334">
        <v>333</v>
      </c>
      <c r="B334" s="1">
        <v>40558</v>
      </c>
      <c r="C334">
        <v>1</v>
      </c>
      <c r="D334" t="str">
        <f>TEXT(mergedcleandataset[[#This Row],[dteday]],"yyyy")</f>
        <v>2011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s="2">
        <f>DATE(mergedcleandataset[[#This Row],[yr]],mergedcleandataset[[#This Row],[mnth]],mergedcleandataset[[#This Row],[day]])</f>
        <v>40558</v>
      </c>
      <c r="R334">
        <f>DAY(mergedcleandataset[[#This Row],[dteday]])</f>
        <v>15</v>
      </c>
      <c r="S334" t="str">
        <f>IF(mergedcleandataset[[#This Row],[weekday]]&gt;=5,"Yes","No")</f>
        <v>Yes</v>
      </c>
      <c r="T334" t="b">
        <f>ISBLANK(mergedcleandataset[[#This Row],[atemp]])</f>
        <v>0</v>
      </c>
      <c r="U334" t="str">
        <f t="shared" si="5"/>
        <v>Spring</v>
      </c>
      <c r="V334" t="str">
        <f>TEXT(mergedcleandataset[[#This Row],[date]],"dddd")</f>
        <v>Saturday</v>
      </c>
      <c r="W3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5" spans="1:23" x14ac:dyDescent="0.25">
      <c r="A335">
        <v>334</v>
      </c>
      <c r="B335" s="1">
        <v>40558</v>
      </c>
      <c r="C335">
        <v>1</v>
      </c>
      <c r="D335" t="str">
        <f>TEXT(mergedcleandataset[[#This Row],[dteday]],"yyyy")</f>
        <v>2011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s="2">
        <f>DATE(mergedcleandataset[[#This Row],[yr]],mergedcleandataset[[#This Row],[mnth]],mergedcleandataset[[#This Row],[day]])</f>
        <v>40558</v>
      </c>
      <c r="R335">
        <f>DAY(mergedcleandataset[[#This Row],[dteday]])</f>
        <v>15</v>
      </c>
      <c r="S335" t="str">
        <f>IF(mergedcleandataset[[#This Row],[weekday]]&gt;=5,"Yes","No")</f>
        <v>Yes</v>
      </c>
      <c r="T335" t="b">
        <f>ISBLANK(mergedcleandataset[[#This Row],[atemp]])</f>
        <v>0</v>
      </c>
      <c r="U335" t="str">
        <f t="shared" si="5"/>
        <v>Spring</v>
      </c>
      <c r="V335" t="str">
        <f>TEXT(mergedcleandataset[[#This Row],[date]],"dddd")</f>
        <v>Saturday</v>
      </c>
      <c r="W3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6" spans="1:23" x14ac:dyDescent="0.25">
      <c r="A336">
        <v>335</v>
      </c>
      <c r="B336" s="1">
        <v>40558</v>
      </c>
      <c r="C336">
        <v>1</v>
      </c>
      <c r="D336" t="str">
        <f>TEXT(mergedcleandataset[[#This Row],[dteday]],"yyyy")</f>
        <v>2011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s="2">
        <f>DATE(mergedcleandataset[[#This Row],[yr]],mergedcleandataset[[#This Row],[mnth]],mergedcleandataset[[#This Row],[day]])</f>
        <v>40558</v>
      </c>
      <c r="R336">
        <f>DAY(mergedcleandataset[[#This Row],[dteday]])</f>
        <v>15</v>
      </c>
      <c r="S336" t="str">
        <f>IF(mergedcleandataset[[#This Row],[weekday]]&gt;=5,"Yes","No")</f>
        <v>Yes</v>
      </c>
      <c r="T336" t="b">
        <f>ISBLANK(mergedcleandataset[[#This Row],[atemp]])</f>
        <v>0</v>
      </c>
      <c r="U336" t="str">
        <f t="shared" si="5"/>
        <v>Spring</v>
      </c>
      <c r="V336" t="str">
        <f>TEXT(mergedcleandataset[[#This Row],[date]],"dddd")</f>
        <v>Saturday</v>
      </c>
      <c r="W3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7" spans="1:23" x14ac:dyDescent="0.25">
      <c r="A337">
        <v>336</v>
      </c>
      <c r="B337" s="1">
        <v>40558</v>
      </c>
      <c r="C337">
        <v>1</v>
      </c>
      <c r="D337" t="str">
        <f>TEXT(mergedcleandataset[[#This Row],[dteday]],"yyyy")</f>
        <v>2011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s="2">
        <f>DATE(mergedcleandataset[[#This Row],[yr]],mergedcleandataset[[#This Row],[mnth]],mergedcleandataset[[#This Row],[day]])</f>
        <v>40558</v>
      </c>
      <c r="R337">
        <f>DAY(mergedcleandataset[[#This Row],[dteday]])</f>
        <v>15</v>
      </c>
      <c r="S337" t="str">
        <f>IF(mergedcleandataset[[#This Row],[weekday]]&gt;=5,"Yes","No")</f>
        <v>Yes</v>
      </c>
      <c r="T337" t="b">
        <f>ISBLANK(mergedcleandataset[[#This Row],[atemp]])</f>
        <v>0</v>
      </c>
      <c r="U337" t="str">
        <f t="shared" si="5"/>
        <v>Spring</v>
      </c>
      <c r="V337" t="str">
        <f>TEXT(mergedcleandataset[[#This Row],[date]],"dddd")</f>
        <v>Saturday</v>
      </c>
      <c r="W33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8" spans="1:23" x14ac:dyDescent="0.25">
      <c r="A338">
        <v>337</v>
      </c>
      <c r="B338" s="1">
        <v>40558</v>
      </c>
      <c r="C338">
        <v>1</v>
      </c>
      <c r="D338" t="str">
        <f>TEXT(mergedcleandataset[[#This Row],[dteday]],"yyyy")</f>
        <v>2011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s="2">
        <f>DATE(mergedcleandataset[[#This Row],[yr]],mergedcleandataset[[#This Row],[mnth]],mergedcleandataset[[#This Row],[day]])</f>
        <v>40558</v>
      </c>
      <c r="R338">
        <f>DAY(mergedcleandataset[[#This Row],[dteday]])</f>
        <v>15</v>
      </c>
      <c r="S338" t="str">
        <f>IF(mergedcleandataset[[#This Row],[weekday]]&gt;=5,"Yes","No")</f>
        <v>Yes</v>
      </c>
      <c r="T338" t="b">
        <f>ISBLANK(mergedcleandataset[[#This Row],[atemp]])</f>
        <v>0</v>
      </c>
      <c r="U338" t="str">
        <f t="shared" si="5"/>
        <v>Spring</v>
      </c>
      <c r="V338" t="str">
        <f>TEXT(mergedcleandataset[[#This Row],[date]],"dddd")</f>
        <v>Saturday</v>
      </c>
      <c r="W33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39" spans="1:23" x14ac:dyDescent="0.25">
      <c r="A339">
        <v>338</v>
      </c>
      <c r="B339" s="1">
        <v>40558</v>
      </c>
      <c r="C339">
        <v>1</v>
      </c>
      <c r="D339" t="str">
        <f>TEXT(mergedcleandataset[[#This Row],[dteday]],"yyyy")</f>
        <v>2011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s="2">
        <f>DATE(mergedcleandataset[[#This Row],[yr]],mergedcleandataset[[#This Row],[mnth]],mergedcleandataset[[#This Row],[day]])</f>
        <v>40558</v>
      </c>
      <c r="R339">
        <f>DAY(mergedcleandataset[[#This Row],[dteday]])</f>
        <v>15</v>
      </c>
      <c r="S339" t="str">
        <f>IF(mergedcleandataset[[#This Row],[weekday]]&gt;=5,"Yes","No")</f>
        <v>Yes</v>
      </c>
      <c r="T339" t="b">
        <f>ISBLANK(mergedcleandataset[[#This Row],[atemp]])</f>
        <v>0</v>
      </c>
      <c r="U339" t="str">
        <f t="shared" si="5"/>
        <v>Spring</v>
      </c>
      <c r="V339" t="str">
        <f>TEXT(mergedcleandataset[[#This Row],[date]],"dddd")</f>
        <v>Saturday</v>
      </c>
      <c r="W33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40" spans="1:23" x14ac:dyDescent="0.25">
      <c r="A340">
        <v>339</v>
      </c>
      <c r="B340" s="1">
        <v>40558</v>
      </c>
      <c r="C340">
        <v>1</v>
      </c>
      <c r="D340" t="str">
        <f>TEXT(mergedcleandataset[[#This Row],[dteday]],"yyyy")</f>
        <v>2011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s="2">
        <f>DATE(mergedcleandataset[[#This Row],[yr]],mergedcleandataset[[#This Row],[mnth]],mergedcleandataset[[#This Row],[day]])</f>
        <v>40558</v>
      </c>
      <c r="R340">
        <f>DAY(mergedcleandataset[[#This Row],[dteday]])</f>
        <v>15</v>
      </c>
      <c r="S340" t="str">
        <f>IF(mergedcleandataset[[#This Row],[weekday]]&gt;=5,"Yes","No")</f>
        <v>Yes</v>
      </c>
      <c r="T340" t="b">
        <f>ISBLANK(mergedcleandataset[[#This Row],[atemp]])</f>
        <v>0</v>
      </c>
      <c r="U340" t="str">
        <f t="shared" si="5"/>
        <v>Spring</v>
      </c>
      <c r="V340" t="str">
        <f>TEXT(mergedcleandataset[[#This Row],[date]],"dddd")</f>
        <v>Saturday</v>
      </c>
      <c r="W34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41" spans="1:23" x14ac:dyDescent="0.25">
      <c r="A341">
        <v>340</v>
      </c>
      <c r="B341" s="1">
        <v>40558</v>
      </c>
      <c r="C341">
        <v>1</v>
      </c>
      <c r="D341" t="str">
        <f>TEXT(mergedcleandataset[[#This Row],[dteday]],"yyyy")</f>
        <v>2011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s="2">
        <f>DATE(mergedcleandataset[[#This Row],[yr]],mergedcleandataset[[#This Row],[mnth]],mergedcleandataset[[#This Row],[day]])</f>
        <v>40558</v>
      </c>
      <c r="R341">
        <f>DAY(mergedcleandataset[[#This Row],[dteday]])</f>
        <v>15</v>
      </c>
      <c r="S341" t="str">
        <f>IF(mergedcleandataset[[#This Row],[weekday]]&gt;=5,"Yes","No")</f>
        <v>Yes</v>
      </c>
      <c r="T341" t="b">
        <f>ISBLANK(mergedcleandataset[[#This Row],[atemp]])</f>
        <v>0</v>
      </c>
      <c r="U341" t="str">
        <f t="shared" si="5"/>
        <v>Spring</v>
      </c>
      <c r="V341" t="str">
        <f>TEXT(mergedcleandataset[[#This Row],[date]],"dddd")</f>
        <v>Saturday</v>
      </c>
      <c r="W34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2" spans="1:23" x14ac:dyDescent="0.25">
      <c r="A342">
        <v>341</v>
      </c>
      <c r="B342" s="1">
        <v>40558</v>
      </c>
      <c r="C342">
        <v>1</v>
      </c>
      <c r="D342" t="str">
        <f>TEXT(mergedcleandataset[[#This Row],[dteday]],"yyyy")</f>
        <v>2011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s="2">
        <f>DATE(mergedcleandataset[[#This Row],[yr]],mergedcleandataset[[#This Row],[mnth]],mergedcleandataset[[#This Row],[day]])</f>
        <v>40558</v>
      </c>
      <c r="R342">
        <f>DAY(mergedcleandataset[[#This Row],[dteday]])</f>
        <v>15</v>
      </c>
      <c r="S342" t="str">
        <f>IF(mergedcleandataset[[#This Row],[weekday]]&gt;=5,"Yes","No")</f>
        <v>Yes</v>
      </c>
      <c r="T342" t="b">
        <f>ISBLANK(mergedcleandataset[[#This Row],[atemp]])</f>
        <v>0</v>
      </c>
      <c r="U342" t="str">
        <f t="shared" si="5"/>
        <v>Spring</v>
      </c>
      <c r="V342" t="str">
        <f>TEXT(mergedcleandataset[[#This Row],[date]],"dddd")</f>
        <v>Saturday</v>
      </c>
      <c r="W34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3" spans="1:23" x14ac:dyDescent="0.25">
      <c r="A343">
        <v>342</v>
      </c>
      <c r="B343" s="1">
        <v>40558</v>
      </c>
      <c r="C343">
        <v>1</v>
      </c>
      <c r="D343" t="str">
        <f>TEXT(mergedcleandataset[[#This Row],[dteday]],"yyyy")</f>
        <v>2011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s="2">
        <f>DATE(mergedcleandataset[[#This Row],[yr]],mergedcleandataset[[#This Row],[mnth]],mergedcleandataset[[#This Row],[day]])</f>
        <v>40558</v>
      </c>
      <c r="R343">
        <f>DAY(mergedcleandataset[[#This Row],[dteday]])</f>
        <v>15</v>
      </c>
      <c r="S343" t="str">
        <f>IF(mergedcleandataset[[#This Row],[weekday]]&gt;=5,"Yes","No")</f>
        <v>Yes</v>
      </c>
      <c r="T343" t="b">
        <f>ISBLANK(mergedcleandataset[[#This Row],[atemp]])</f>
        <v>0</v>
      </c>
      <c r="U343" t="str">
        <f t="shared" si="5"/>
        <v>Spring</v>
      </c>
      <c r="V343" t="str">
        <f>TEXT(mergedcleandataset[[#This Row],[date]],"dddd")</f>
        <v>Saturday</v>
      </c>
      <c r="W34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4" spans="1:23" x14ac:dyDescent="0.25">
      <c r="A344">
        <v>343</v>
      </c>
      <c r="B344" s="1">
        <v>40558</v>
      </c>
      <c r="C344">
        <v>1</v>
      </c>
      <c r="D344" t="str">
        <f>TEXT(mergedcleandataset[[#This Row],[dteday]],"yyyy")</f>
        <v>2011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s="2">
        <f>DATE(mergedcleandataset[[#This Row],[yr]],mergedcleandataset[[#This Row],[mnth]],mergedcleandataset[[#This Row],[day]])</f>
        <v>40558</v>
      </c>
      <c r="R344">
        <f>DAY(mergedcleandataset[[#This Row],[dteday]])</f>
        <v>15</v>
      </c>
      <c r="S344" t="str">
        <f>IF(mergedcleandataset[[#This Row],[weekday]]&gt;=5,"Yes","No")</f>
        <v>Yes</v>
      </c>
      <c r="T344" t="b">
        <f>ISBLANK(mergedcleandataset[[#This Row],[atemp]])</f>
        <v>0</v>
      </c>
      <c r="U344" t="str">
        <f t="shared" si="5"/>
        <v>Spring</v>
      </c>
      <c r="V344" t="str">
        <f>TEXT(mergedcleandataset[[#This Row],[date]],"dddd")</f>
        <v>Saturday</v>
      </c>
      <c r="W34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5" spans="1:23" x14ac:dyDescent="0.25">
      <c r="A345">
        <v>344</v>
      </c>
      <c r="B345" s="1">
        <v>40558</v>
      </c>
      <c r="C345">
        <v>1</v>
      </c>
      <c r="D345" t="str">
        <f>TEXT(mergedcleandataset[[#This Row],[dteday]],"yyyy")</f>
        <v>2011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s="2">
        <f>DATE(mergedcleandataset[[#This Row],[yr]],mergedcleandataset[[#This Row],[mnth]],mergedcleandataset[[#This Row],[day]])</f>
        <v>40558</v>
      </c>
      <c r="R345">
        <f>DAY(mergedcleandataset[[#This Row],[dteday]])</f>
        <v>15</v>
      </c>
      <c r="S345" t="str">
        <f>IF(mergedcleandataset[[#This Row],[weekday]]&gt;=5,"Yes","No")</f>
        <v>Yes</v>
      </c>
      <c r="T345" t="b">
        <f>ISBLANK(mergedcleandataset[[#This Row],[atemp]])</f>
        <v>0</v>
      </c>
      <c r="U345" t="str">
        <f t="shared" si="5"/>
        <v>Spring</v>
      </c>
      <c r="V345" t="str">
        <f>TEXT(mergedcleandataset[[#This Row],[date]],"dddd")</f>
        <v>Saturday</v>
      </c>
      <c r="W34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6" spans="1:23" x14ac:dyDescent="0.25">
      <c r="A346">
        <v>345</v>
      </c>
      <c r="B346" s="1">
        <v>40558</v>
      </c>
      <c r="C346">
        <v>1</v>
      </c>
      <c r="D346" t="str">
        <f>TEXT(mergedcleandataset[[#This Row],[dteday]],"yyyy")</f>
        <v>2011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s="2">
        <f>DATE(mergedcleandataset[[#This Row],[yr]],mergedcleandataset[[#This Row],[mnth]],mergedcleandataset[[#This Row],[day]])</f>
        <v>40558</v>
      </c>
      <c r="R346">
        <f>DAY(mergedcleandataset[[#This Row],[dteday]])</f>
        <v>15</v>
      </c>
      <c r="S346" t="str">
        <f>IF(mergedcleandataset[[#This Row],[weekday]]&gt;=5,"Yes","No")</f>
        <v>Yes</v>
      </c>
      <c r="T346" t="b">
        <f>ISBLANK(mergedcleandataset[[#This Row],[atemp]])</f>
        <v>0</v>
      </c>
      <c r="U346" t="str">
        <f t="shared" si="5"/>
        <v>Spring</v>
      </c>
      <c r="V346" t="str">
        <f>TEXT(mergedcleandataset[[#This Row],[date]],"dddd")</f>
        <v>Saturday</v>
      </c>
      <c r="W34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7" spans="1:23" x14ac:dyDescent="0.25">
      <c r="A347">
        <v>346</v>
      </c>
      <c r="B347" s="1">
        <v>40558</v>
      </c>
      <c r="C347">
        <v>1</v>
      </c>
      <c r="D347" t="str">
        <f>TEXT(mergedcleandataset[[#This Row],[dteday]],"yyyy")</f>
        <v>2011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s="2">
        <f>DATE(mergedcleandataset[[#This Row],[yr]],mergedcleandataset[[#This Row],[mnth]],mergedcleandataset[[#This Row],[day]])</f>
        <v>40558</v>
      </c>
      <c r="R347">
        <f>DAY(mergedcleandataset[[#This Row],[dteday]])</f>
        <v>15</v>
      </c>
      <c r="S347" t="str">
        <f>IF(mergedcleandataset[[#This Row],[weekday]]&gt;=5,"Yes","No")</f>
        <v>Yes</v>
      </c>
      <c r="T347" t="b">
        <f>ISBLANK(mergedcleandataset[[#This Row],[atemp]])</f>
        <v>0</v>
      </c>
      <c r="U347" t="str">
        <f t="shared" si="5"/>
        <v>Spring</v>
      </c>
      <c r="V347" t="str">
        <f>TEXT(mergedcleandataset[[#This Row],[date]],"dddd")</f>
        <v>Saturday</v>
      </c>
      <c r="W34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8" spans="1:23" x14ac:dyDescent="0.25">
      <c r="A348">
        <v>347</v>
      </c>
      <c r="B348" s="1">
        <v>40558</v>
      </c>
      <c r="C348">
        <v>1</v>
      </c>
      <c r="D348" t="str">
        <f>TEXT(mergedcleandataset[[#This Row],[dteday]],"yyyy")</f>
        <v>2011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s="2">
        <f>DATE(mergedcleandataset[[#This Row],[yr]],mergedcleandataset[[#This Row],[mnth]],mergedcleandataset[[#This Row],[day]])</f>
        <v>40558</v>
      </c>
      <c r="R348">
        <f>DAY(mergedcleandataset[[#This Row],[dteday]])</f>
        <v>15</v>
      </c>
      <c r="S348" t="str">
        <f>IF(mergedcleandataset[[#This Row],[weekday]]&gt;=5,"Yes","No")</f>
        <v>Yes</v>
      </c>
      <c r="T348" t="b">
        <f>ISBLANK(mergedcleandataset[[#This Row],[atemp]])</f>
        <v>0</v>
      </c>
      <c r="U348" t="str">
        <f t="shared" si="5"/>
        <v>Spring</v>
      </c>
      <c r="V348" t="str">
        <f>TEXT(mergedcleandataset[[#This Row],[date]],"dddd")</f>
        <v>Saturday</v>
      </c>
      <c r="W34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49" spans="1:23" x14ac:dyDescent="0.25">
      <c r="A349">
        <v>348</v>
      </c>
      <c r="B349" s="1">
        <v>40558</v>
      </c>
      <c r="C349">
        <v>1</v>
      </c>
      <c r="D349" t="str">
        <f>TEXT(mergedcleandataset[[#This Row],[dteday]],"yyyy")</f>
        <v>2011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s="2">
        <f>DATE(mergedcleandataset[[#This Row],[yr]],mergedcleandataset[[#This Row],[mnth]],mergedcleandataset[[#This Row],[day]])</f>
        <v>40558</v>
      </c>
      <c r="R349">
        <f>DAY(mergedcleandataset[[#This Row],[dteday]])</f>
        <v>15</v>
      </c>
      <c r="S349" t="str">
        <f>IF(mergedcleandataset[[#This Row],[weekday]]&gt;=5,"Yes","No")</f>
        <v>Yes</v>
      </c>
      <c r="T349" t="b">
        <f>ISBLANK(mergedcleandataset[[#This Row],[atemp]])</f>
        <v>0</v>
      </c>
      <c r="U349" t="str">
        <f t="shared" si="5"/>
        <v>Spring</v>
      </c>
      <c r="V349" t="str">
        <f>TEXT(mergedcleandataset[[#This Row],[date]],"dddd")</f>
        <v>Saturday</v>
      </c>
      <c r="W34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0" spans="1:23" x14ac:dyDescent="0.25">
      <c r="A350">
        <v>349</v>
      </c>
      <c r="B350" s="1">
        <v>40559</v>
      </c>
      <c r="C350">
        <v>1</v>
      </c>
      <c r="D350" t="str">
        <f>TEXT(mergedcleandataset[[#This Row],[dteday]],"yyyy")</f>
        <v>2011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s="2">
        <f>DATE(mergedcleandataset[[#This Row],[yr]],mergedcleandataset[[#This Row],[mnth]],mergedcleandataset[[#This Row],[day]])</f>
        <v>40559</v>
      </c>
      <c r="R350">
        <f>DAY(mergedcleandataset[[#This Row],[dteday]])</f>
        <v>16</v>
      </c>
      <c r="S350" t="str">
        <f>IF(mergedcleandataset[[#This Row],[weekday]]&gt;=5,"Yes","No")</f>
        <v>No</v>
      </c>
      <c r="T350" t="b">
        <f>ISBLANK(mergedcleandataset[[#This Row],[atemp]])</f>
        <v>0</v>
      </c>
      <c r="U350" t="str">
        <f t="shared" si="5"/>
        <v>Spring</v>
      </c>
      <c r="V350" t="str">
        <f>TEXT(mergedcleandataset[[#This Row],[date]],"dddd")</f>
        <v>Sunday</v>
      </c>
      <c r="W35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1" spans="1:23" x14ac:dyDescent="0.25">
      <c r="A351">
        <v>350</v>
      </c>
      <c r="B351" s="1">
        <v>40559</v>
      </c>
      <c r="C351">
        <v>1</v>
      </c>
      <c r="D351" t="str">
        <f>TEXT(mergedcleandataset[[#This Row],[dteday]],"yyyy")</f>
        <v>2011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s="2">
        <f>DATE(mergedcleandataset[[#This Row],[yr]],mergedcleandataset[[#This Row],[mnth]],mergedcleandataset[[#This Row],[day]])</f>
        <v>40559</v>
      </c>
      <c r="R351">
        <f>DAY(mergedcleandataset[[#This Row],[dteday]])</f>
        <v>16</v>
      </c>
      <c r="S351" t="str">
        <f>IF(mergedcleandataset[[#This Row],[weekday]]&gt;=5,"Yes","No")</f>
        <v>No</v>
      </c>
      <c r="T351" t="b">
        <f>ISBLANK(mergedcleandataset[[#This Row],[atemp]])</f>
        <v>0</v>
      </c>
      <c r="U351" t="str">
        <f t="shared" si="5"/>
        <v>Spring</v>
      </c>
      <c r="V351" t="str">
        <f>TEXT(mergedcleandataset[[#This Row],[date]],"dddd")</f>
        <v>Sunday</v>
      </c>
      <c r="W35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2" spans="1:23" x14ac:dyDescent="0.25">
      <c r="A352">
        <v>351</v>
      </c>
      <c r="B352" s="1">
        <v>40559</v>
      </c>
      <c r="C352">
        <v>1</v>
      </c>
      <c r="D352" t="str">
        <f>TEXT(mergedcleandataset[[#This Row],[dteday]],"yyyy")</f>
        <v>2011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s="2">
        <f>DATE(mergedcleandataset[[#This Row],[yr]],mergedcleandataset[[#This Row],[mnth]],mergedcleandataset[[#This Row],[day]])</f>
        <v>40559</v>
      </c>
      <c r="R352">
        <f>DAY(mergedcleandataset[[#This Row],[dteday]])</f>
        <v>16</v>
      </c>
      <c r="S352" t="str">
        <f>IF(mergedcleandataset[[#This Row],[weekday]]&gt;=5,"Yes","No")</f>
        <v>No</v>
      </c>
      <c r="T352" t="b">
        <f>ISBLANK(mergedcleandataset[[#This Row],[atemp]])</f>
        <v>0</v>
      </c>
      <c r="U352" t="str">
        <f t="shared" si="5"/>
        <v>Spring</v>
      </c>
      <c r="V352" t="str">
        <f>TEXT(mergedcleandataset[[#This Row],[date]],"dddd")</f>
        <v>Sunday</v>
      </c>
      <c r="W3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3" spans="1:23" x14ac:dyDescent="0.25">
      <c r="A353">
        <v>352</v>
      </c>
      <c r="B353" s="1">
        <v>40559</v>
      </c>
      <c r="C353">
        <v>1</v>
      </c>
      <c r="D353" t="str">
        <f>TEXT(mergedcleandataset[[#This Row],[dteday]],"yyyy")</f>
        <v>2011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s="2">
        <f>DATE(mergedcleandataset[[#This Row],[yr]],mergedcleandataset[[#This Row],[mnth]],mergedcleandataset[[#This Row],[day]])</f>
        <v>40559</v>
      </c>
      <c r="R353">
        <f>DAY(mergedcleandataset[[#This Row],[dteday]])</f>
        <v>16</v>
      </c>
      <c r="S353" t="str">
        <f>IF(mergedcleandataset[[#This Row],[weekday]]&gt;=5,"Yes","No")</f>
        <v>No</v>
      </c>
      <c r="T353" t="b">
        <f>ISBLANK(mergedcleandataset[[#This Row],[atemp]])</f>
        <v>0</v>
      </c>
      <c r="U353" t="str">
        <f t="shared" si="5"/>
        <v>Spring</v>
      </c>
      <c r="V353" t="str">
        <f>TEXT(mergedcleandataset[[#This Row],[date]],"dddd")</f>
        <v>Sunday</v>
      </c>
      <c r="W35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4" spans="1:23" x14ac:dyDescent="0.25">
      <c r="A354">
        <v>353</v>
      </c>
      <c r="B354" s="1">
        <v>40559</v>
      </c>
      <c r="C354">
        <v>1</v>
      </c>
      <c r="D354" t="str">
        <f>TEXT(mergedcleandataset[[#This Row],[dteday]],"yyyy")</f>
        <v>2011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s="2">
        <f>DATE(mergedcleandataset[[#This Row],[yr]],mergedcleandataset[[#This Row],[mnth]],mergedcleandataset[[#This Row],[day]])</f>
        <v>40559</v>
      </c>
      <c r="R354">
        <f>DAY(mergedcleandataset[[#This Row],[dteday]])</f>
        <v>16</v>
      </c>
      <c r="S354" t="str">
        <f>IF(mergedcleandataset[[#This Row],[weekday]]&gt;=5,"Yes","No")</f>
        <v>No</v>
      </c>
      <c r="T354" t="b">
        <f>ISBLANK(mergedcleandataset[[#This Row],[atemp]])</f>
        <v>0</v>
      </c>
      <c r="U354" t="str">
        <f t="shared" si="5"/>
        <v>Spring</v>
      </c>
      <c r="V354" t="str">
        <f>TEXT(mergedcleandataset[[#This Row],[date]],"dddd")</f>
        <v>Sunday</v>
      </c>
      <c r="W35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5" spans="1:23" x14ac:dyDescent="0.25">
      <c r="A355">
        <v>354</v>
      </c>
      <c r="B355" s="1">
        <v>40559</v>
      </c>
      <c r="C355">
        <v>1</v>
      </c>
      <c r="D355" t="str">
        <f>TEXT(mergedcleandataset[[#This Row],[dteday]],"yyyy")</f>
        <v>2011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s="2">
        <f>DATE(mergedcleandataset[[#This Row],[yr]],mergedcleandataset[[#This Row],[mnth]],mergedcleandataset[[#This Row],[day]])</f>
        <v>40559</v>
      </c>
      <c r="R355">
        <f>DAY(mergedcleandataset[[#This Row],[dteday]])</f>
        <v>16</v>
      </c>
      <c r="S355" t="str">
        <f>IF(mergedcleandataset[[#This Row],[weekday]]&gt;=5,"Yes","No")</f>
        <v>No</v>
      </c>
      <c r="T355" t="b">
        <f>ISBLANK(mergedcleandataset[[#This Row],[atemp]])</f>
        <v>0</v>
      </c>
      <c r="U355" t="str">
        <f t="shared" si="5"/>
        <v>Spring</v>
      </c>
      <c r="V355" t="str">
        <f>TEXT(mergedcleandataset[[#This Row],[date]],"dddd")</f>
        <v>Sunday</v>
      </c>
      <c r="W35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56" spans="1:23" x14ac:dyDescent="0.25">
      <c r="A356">
        <v>355</v>
      </c>
      <c r="B356" s="1">
        <v>40559</v>
      </c>
      <c r="C356">
        <v>1</v>
      </c>
      <c r="D356" t="str">
        <f>TEXT(mergedcleandataset[[#This Row],[dteday]],"yyyy")</f>
        <v>2011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s="2">
        <f>DATE(mergedcleandataset[[#This Row],[yr]],mergedcleandataset[[#This Row],[mnth]],mergedcleandataset[[#This Row],[day]])</f>
        <v>40559</v>
      </c>
      <c r="R356">
        <f>DAY(mergedcleandataset[[#This Row],[dteday]])</f>
        <v>16</v>
      </c>
      <c r="S356" t="str">
        <f>IF(mergedcleandataset[[#This Row],[weekday]]&gt;=5,"Yes","No")</f>
        <v>No</v>
      </c>
      <c r="T356" t="b">
        <f>ISBLANK(mergedcleandataset[[#This Row],[atemp]])</f>
        <v>0</v>
      </c>
      <c r="U356" t="str">
        <f t="shared" si="5"/>
        <v>Spring</v>
      </c>
      <c r="V356" t="str">
        <f>TEXT(mergedcleandataset[[#This Row],[date]],"dddd")</f>
        <v>Sunday</v>
      </c>
      <c r="W35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57" spans="1:23" x14ac:dyDescent="0.25">
      <c r="A357">
        <v>356</v>
      </c>
      <c r="B357" s="1">
        <v>40559</v>
      </c>
      <c r="C357">
        <v>1</v>
      </c>
      <c r="D357" t="str">
        <f>TEXT(mergedcleandataset[[#This Row],[dteday]],"yyyy")</f>
        <v>2011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s="2">
        <f>DATE(mergedcleandataset[[#This Row],[yr]],mergedcleandataset[[#This Row],[mnth]],mergedcleandataset[[#This Row],[day]])</f>
        <v>40559</v>
      </c>
      <c r="R357">
        <f>DAY(mergedcleandataset[[#This Row],[dteday]])</f>
        <v>16</v>
      </c>
      <c r="S357" t="str">
        <f>IF(mergedcleandataset[[#This Row],[weekday]]&gt;=5,"Yes","No")</f>
        <v>No</v>
      </c>
      <c r="T357" t="b">
        <f>ISBLANK(mergedcleandataset[[#This Row],[atemp]])</f>
        <v>0</v>
      </c>
      <c r="U357" t="str">
        <f t="shared" si="5"/>
        <v>Spring</v>
      </c>
      <c r="V357" t="str">
        <f>TEXT(mergedcleandataset[[#This Row],[date]],"dddd")</f>
        <v>Sunday</v>
      </c>
      <c r="W35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58" spans="1:23" x14ac:dyDescent="0.25">
      <c r="A358">
        <v>357</v>
      </c>
      <c r="B358" s="1">
        <v>40559</v>
      </c>
      <c r="C358">
        <v>1</v>
      </c>
      <c r="D358" t="str">
        <f>TEXT(mergedcleandataset[[#This Row],[dteday]],"yyyy")</f>
        <v>2011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s="2">
        <f>DATE(mergedcleandataset[[#This Row],[yr]],mergedcleandataset[[#This Row],[mnth]],mergedcleandataset[[#This Row],[day]])</f>
        <v>40559</v>
      </c>
      <c r="R358">
        <f>DAY(mergedcleandataset[[#This Row],[dteday]])</f>
        <v>16</v>
      </c>
      <c r="S358" t="str">
        <f>IF(mergedcleandataset[[#This Row],[weekday]]&gt;=5,"Yes","No")</f>
        <v>No</v>
      </c>
      <c r="T358" t="b">
        <f>ISBLANK(mergedcleandataset[[#This Row],[atemp]])</f>
        <v>0</v>
      </c>
      <c r="U358" t="str">
        <f t="shared" si="5"/>
        <v>Spring</v>
      </c>
      <c r="V358" t="str">
        <f>TEXT(mergedcleandataset[[#This Row],[date]],"dddd")</f>
        <v>Sunday</v>
      </c>
      <c r="W3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59" spans="1:23" x14ac:dyDescent="0.25">
      <c r="A359">
        <v>358</v>
      </c>
      <c r="B359" s="1">
        <v>40559</v>
      </c>
      <c r="C359">
        <v>1</v>
      </c>
      <c r="D359" t="str">
        <f>TEXT(mergedcleandataset[[#This Row],[dteday]],"yyyy")</f>
        <v>2011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s="2">
        <f>DATE(mergedcleandataset[[#This Row],[yr]],mergedcleandataset[[#This Row],[mnth]],mergedcleandataset[[#This Row],[day]])</f>
        <v>40559</v>
      </c>
      <c r="R359">
        <f>DAY(mergedcleandataset[[#This Row],[dteday]])</f>
        <v>16</v>
      </c>
      <c r="S359" t="str">
        <f>IF(mergedcleandataset[[#This Row],[weekday]]&gt;=5,"Yes","No")</f>
        <v>No</v>
      </c>
      <c r="T359" t="b">
        <f>ISBLANK(mergedcleandataset[[#This Row],[atemp]])</f>
        <v>0</v>
      </c>
      <c r="U359" t="str">
        <f t="shared" si="5"/>
        <v>Spring</v>
      </c>
      <c r="V359" t="str">
        <f>TEXT(mergedcleandataset[[#This Row],[date]],"dddd")</f>
        <v>Sunday</v>
      </c>
      <c r="W35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0" spans="1:23" x14ac:dyDescent="0.25">
      <c r="A360">
        <v>359</v>
      </c>
      <c r="B360" s="1">
        <v>40559</v>
      </c>
      <c r="C360">
        <v>1</v>
      </c>
      <c r="D360" t="str">
        <f>TEXT(mergedcleandataset[[#This Row],[dteday]],"yyyy")</f>
        <v>2011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s="2">
        <f>DATE(mergedcleandataset[[#This Row],[yr]],mergedcleandataset[[#This Row],[mnth]],mergedcleandataset[[#This Row],[day]])</f>
        <v>40559</v>
      </c>
      <c r="R360">
        <f>DAY(mergedcleandataset[[#This Row],[dteday]])</f>
        <v>16</v>
      </c>
      <c r="S360" t="str">
        <f>IF(mergedcleandataset[[#This Row],[weekday]]&gt;=5,"Yes","No")</f>
        <v>No</v>
      </c>
      <c r="T360" t="b">
        <f>ISBLANK(mergedcleandataset[[#This Row],[atemp]])</f>
        <v>0</v>
      </c>
      <c r="U360" t="str">
        <f t="shared" si="5"/>
        <v>Spring</v>
      </c>
      <c r="V360" t="str">
        <f>TEXT(mergedcleandataset[[#This Row],[date]],"dddd")</f>
        <v>Sunday</v>
      </c>
      <c r="W3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1" spans="1:23" x14ac:dyDescent="0.25">
      <c r="A361">
        <v>360</v>
      </c>
      <c r="B361" s="1">
        <v>40559</v>
      </c>
      <c r="C361">
        <v>1</v>
      </c>
      <c r="D361" t="str">
        <f>TEXT(mergedcleandataset[[#This Row],[dteday]],"yyyy")</f>
        <v>2011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s="2">
        <f>DATE(mergedcleandataset[[#This Row],[yr]],mergedcleandataset[[#This Row],[mnth]],mergedcleandataset[[#This Row],[day]])</f>
        <v>40559</v>
      </c>
      <c r="R361">
        <f>DAY(mergedcleandataset[[#This Row],[dteday]])</f>
        <v>16</v>
      </c>
      <c r="S361" t="str">
        <f>IF(mergedcleandataset[[#This Row],[weekday]]&gt;=5,"Yes","No")</f>
        <v>No</v>
      </c>
      <c r="T361" t="b">
        <f>ISBLANK(mergedcleandataset[[#This Row],[atemp]])</f>
        <v>0</v>
      </c>
      <c r="U361" t="str">
        <f t="shared" si="5"/>
        <v>Spring</v>
      </c>
      <c r="V361" t="str">
        <f>TEXT(mergedcleandataset[[#This Row],[date]],"dddd")</f>
        <v>Sunday</v>
      </c>
      <c r="W3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2" spans="1:23" x14ac:dyDescent="0.25">
      <c r="A362">
        <v>361</v>
      </c>
      <c r="B362" s="1">
        <v>40559</v>
      </c>
      <c r="C362">
        <v>1</v>
      </c>
      <c r="D362" t="str">
        <f>TEXT(mergedcleandataset[[#This Row],[dteday]],"yyyy")</f>
        <v>2011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s="2">
        <f>DATE(mergedcleandataset[[#This Row],[yr]],mergedcleandataset[[#This Row],[mnth]],mergedcleandataset[[#This Row],[day]])</f>
        <v>40559</v>
      </c>
      <c r="R362">
        <f>DAY(mergedcleandataset[[#This Row],[dteday]])</f>
        <v>16</v>
      </c>
      <c r="S362" t="str">
        <f>IF(mergedcleandataset[[#This Row],[weekday]]&gt;=5,"Yes","No")</f>
        <v>No</v>
      </c>
      <c r="T362" t="b">
        <f>ISBLANK(mergedcleandataset[[#This Row],[atemp]])</f>
        <v>0</v>
      </c>
      <c r="U362" t="str">
        <f t="shared" si="5"/>
        <v>Spring</v>
      </c>
      <c r="V362" t="str">
        <f>TEXT(mergedcleandataset[[#This Row],[date]],"dddd")</f>
        <v>Sunday</v>
      </c>
      <c r="W3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3" spans="1:23" x14ac:dyDescent="0.25">
      <c r="A363">
        <v>362</v>
      </c>
      <c r="B363" s="1">
        <v>40559</v>
      </c>
      <c r="C363">
        <v>1</v>
      </c>
      <c r="D363" t="str">
        <f>TEXT(mergedcleandataset[[#This Row],[dteday]],"yyyy")</f>
        <v>2011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s="2">
        <f>DATE(mergedcleandataset[[#This Row],[yr]],mergedcleandataset[[#This Row],[mnth]],mergedcleandataset[[#This Row],[day]])</f>
        <v>40559</v>
      </c>
      <c r="R363">
        <f>DAY(mergedcleandataset[[#This Row],[dteday]])</f>
        <v>16</v>
      </c>
      <c r="S363" t="str">
        <f>IF(mergedcleandataset[[#This Row],[weekday]]&gt;=5,"Yes","No")</f>
        <v>No</v>
      </c>
      <c r="T363" t="b">
        <f>ISBLANK(mergedcleandataset[[#This Row],[atemp]])</f>
        <v>0</v>
      </c>
      <c r="U363" t="str">
        <f t="shared" si="5"/>
        <v>Spring</v>
      </c>
      <c r="V363" t="str">
        <f>TEXT(mergedcleandataset[[#This Row],[date]],"dddd")</f>
        <v>Sunday</v>
      </c>
      <c r="W3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4" spans="1:23" x14ac:dyDescent="0.25">
      <c r="A364">
        <v>363</v>
      </c>
      <c r="B364" s="1">
        <v>40559</v>
      </c>
      <c r="C364">
        <v>1</v>
      </c>
      <c r="D364" t="str">
        <f>TEXT(mergedcleandataset[[#This Row],[dteday]],"yyyy")</f>
        <v>2011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s="2">
        <f>DATE(mergedcleandataset[[#This Row],[yr]],mergedcleandataset[[#This Row],[mnth]],mergedcleandataset[[#This Row],[day]])</f>
        <v>40559</v>
      </c>
      <c r="R364">
        <f>DAY(mergedcleandataset[[#This Row],[dteday]])</f>
        <v>16</v>
      </c>
      <c r="S364" t="str">
        <f>IF(mergedcleandataset[[#This Row],[weekday]]&gt;=5,"Yes","No")</f>
        <v>No</v>
      </c>
      <c r="T364" t="b">
        <f>ISBLANK(mergedcleandataset[[#This Row],[atemp]])</f>
        <v>0</v>
      </c>
      <c r="U364" t="str">
        <f t="shared" si="5"/>
        <v>Spring</v>
      </c>
      <c r="V364" t="str">
        <f>TEXT(mergedcleandataset[[#This Row],[date]],"dddd")</f>
        <v>Sunday</v>
      </c>
      <c r="W36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5" spans="1:23" x14ac:dyDescent="0.25">
      <c r="A365">
        <v>364</v>
      </c>
      <c r="B365" s="1">
        <v>40559</v>
      </c>
      <c r="C365">
        <v>1</v>
      </c>
      <c r="D365" t="str">
        <f>TEXT(mergedcleandataset[[#This Row],[dteday]],"yyyy")</f>
        <v>2011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s="2">
        <f>DATE(mergedcleandataset[[#This Row],[yr]],mergedcleandataset[[#This Row],[mnth]],mergedcleandataset[[#This Row],[day]])</f>
        <v>40559</v>
      </c>
      <c r="R365">
        <f>DAY(mergedcleandataset[[#This Row],[dteday]])</f>
        <v>16</v>
      </c>
      <c r="S365" t="str">
        <f>IF(mergedcleandataset[[#This Row],[weekday]]&gt;=5,"Yes","No")</f>
        <v>No</v>
      </c>
      <c r="T365" t="b">
        <f>ISBLANK(mergedcleandataset[[#This Row],[atemp]])</f>
        <v>0</v>
      </c>
      <c r="U365" t="str">
        <f t="shared" si="5"/>
        <v>Spring</v>
      </c>
      <c r="V365" t="str">
        <f>TEXT(mergedcleandataset[[#This Row],[date]],"dddd")</f>
        <v>Sunday</v>
      </c>
      <c r="W36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6" spans="1:23" x14ac:dyDescent="0.25">
      <c r="A366">
        <v>365</v>
      </c>
      <c r="B366" s="1">
        <v>40559</v>
      </c>
      <c r="C366">
        <v>1</v>
      </c>
      <c r="D366" t="str">
        <f>TEXT(mergedcleandataset[[#This Row],[dteday]],"yyyy")</f>
        <v>2011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s="2">
        <f>DATE(mergedcleandataset[[#This Row],[yr]],mergedcleandataset[[#This Row],[mnth]],mergedcleandataset[[#This Row],[day]])</f>
        <v>40559</v>
      </c>
      <c r="R366">
        <f>DAY(mergedcleandataset[[#This Row],[dteday]])</f>
        <v>16</v>
      </c>
      <c r="S366" t="str">
        <f>IF(mergedcleandataset[[#This Row],[weekday]]&gt;=5,"Yes","No")</f>
        <v>No</v>
      </c>
      <c r="T366" t="b">
        <f>ISBLANK(mergedcleandataset[[#This Row],[atemp]])</f>
        <v>0</v>
      </c>
      <c r="U366" t="str">
        <f t="shared" si="5"/>
        <v>Spring</v>
      </c>
      <c r="V366" t="str">
        <f>TEXT(mergedcleandataset[[#This Row],[date]],"dddd")</f>
        <v>Sunday</v>
      </c>
      <c r="W36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7" spans="1:23" x14ac:dyDescent="0.25">
      <c r="A367">
        <v>366</v>
      </c>
      <c r="B367" s="1">
        <v>40559</v>
      </c>
      <c r="C367">
        <v>1</v>
      </c>
      <c r="D367" t="str">
        <f>TEXT(mergedcleandataset[[#This Row],[dteday]],"yyyy")</f>
        <v>2011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s="2">
        <f>DATE(mergedcleandataset[[#This Row],[yr]],mergedcleandataset[[#This Row],[mnth]],mergedcleandataset[[#This Row],[day]])</f>
        <v>40559</v>
      </c>
      <c r="R367">
        <f>DAY(mergedcleandataset[[#This Row],[dteday]])</f>
        <v>16</v>
      </c>
      <c r="S367" t="str">
        <f>IF(mergedcleandataset[[#This Row],[weekday]]&gt;=5,"Yes","No")</f>
        <v>No</v>
      </c>
      <c r="T367" t="b">
        <f>ISBLANK(mergedcleandataset[[#This Row],[atemp]])</f>
        <v>0</v>
      </c>
      <c r="U367" t="str">
        <f t="shared" si="5"/>
        <v>Spring</v>
      </c>
      <c r="V367" t="str">
        <f>TEXT(mergedcleandataset[[#This Row],[date]],"dddd")</f>
        <v>Sunday</v>
      </c>
      <c r="W36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8" spans="1:23" x14ac:dyDescent="0.25">
      <c r="A368">
        <v>367</v>
      </c>
      <c r="B368" s="1">
        <v>40559</v>
      </c>
      <c r="C368">
        <v>1</v>
      </c>
      <c r="D368" t="str">
        <f>TEXT(mergedcleandataset[[#This Row],[dteday]],"yyyy")</f>
        <v>2011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s="2">
        <f>DATE(mergedcleandataset[[#This Row],[yr]],mergedcleandataset[[#This Row],[mnth]],mergedcleandataset[[#This Row],[day]])</f>
        <v>40559</v>
      </c>
      <c r="R368">
        <f>DAY(mergedcleandataset[[#This Row],[dteday]])</f>
        <v>16</v>
      </c>
      <c r="S368" t="str">
        <f>IF(mergedcleandataset[[#This Row],[weekday]]&gt;=5,"Yes","No")</f>
        <v>No</v>
      </c>
      <c r="T368" t="b">
        <f>ISBLANK(mergedcleandataset[[#This Row],[atemp]])</f>
        <v>0</v>
      </c>
      <c r="U368" t="str">
        <f t="shared" si="5"/>
        <v>Spring</v>
      </c>
      <c r="V368" t="str">
        <f>TEXT(mergedcleandataset[[#This Row],[date]],"dddd")</f>
        <v>Sunday</v>
      </c>
      <c r="W36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69" spans="1:23" x14ac:dyDescent="0.25">
      <c r="A369">
        <v>368</v>
      </c>
      <c r="B369" s="1">
        <v>40559</v>
      </c>
      <c r="C369">
        <v>1</v>
      </c>
      <c r="D369" t="str">
        <f>TEXT(mergedcleandataset[[#This Row],[dteday]],"yyyy")</f>
        <v>2011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s="2">
        <f>DATE(mergedcleandataset[[#This Row],[yr]],mergedcleandataset[[#This Row],[mnth]],mergedcleandataset[[#This Row],[day]])</f>
        <v>40559</v>
      </c>
      <c r="R369">
        <f>DAY(mergedcleandataset[[#This Row],[dteday]])</f>
        <v>16</v>
      </c>
      <c r="S369" t="str">
        <f>IF(mergedcleandataset[[#This Row],[weekday]]&gt;=5,"Yes","No")</f>
        <v>No</v>
      </c>
      <c r="T369" t="b">
        <f>ISBLANK(mergedcleandataset[[#This Row],[atemp]])</f>
        <v>0</v>
      </c>
      <c r="U369" t="str">
        <f t="shared" si="5"/>
        <v>Spring</v>
      </c>
      <c r="V369" t="str">
        <f>TEXT(mergedcleandataset[[#This Row],[date]],"dddd")</f>
        <v>Sunday</v>
      </c>
      <c r="W36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70" spans="1:23" x14ac:dyDescent="0.25">
      <c r="A370">
        <v>369</v>
      </c>
      <c r="B370" s="1">
        <v>40559</v>
      </c>
      <c r="C370">
        <v>1</v>
      </c>
      <c r="D370" t="str">
        <f>TEXT(mergedcleandataset[[#This Row],[dteday]],"yyyy")</f>
        <v>2011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s="2">
        <f>DATE(mergedcleandataset[[#This Row],[yr]],mergedcleandataset[[#This Row],[mnth]],mergedcleandataset[[#This Row],[day]])</f>
        <v>40559</v>
      </c>
      <c r="R370">
        <f>DAY(mergedcleandataset[[#This Row],[dteday]])</f>
        <v>16</v>
      </c>
      <c r="S370" t="str">
        <f>IF(mergedcleandataset[[#This Row],[weekday]]&gt;=5,"Yes","No")</f>
        <v>No</v>
      </c>
      <c r="T370" t="b">
        <f>ISBLANK(mergedcleandataset[[#This Row],[atemp]])</f>
        <v>0</v>
      </c>
      <c r="U370" t="str">
        <f t="shared" si="5"/>
        <v>Spring</v>
      </c>
      <c r="V370" t="str">
        <f>TEXT(mergedcleandataset[[#This Row],[date]],"dddd")</f>
        <v>Sunday</v>
      </c>
      <c r="W37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71" spans="1:23" x14ac:dyDescent="0.25">
      <c r="A371">
        <v>370</v>
      </c>
      <c r="B371" s="1">
        <v>40559</v>
      </c>
      <c r="C371">
        <v>1</v>
      </c>
      <c r="D371" t="str">
        <f>TEXT(mergedcleandataset[[#This Row],[dteday]],"yyyy")</f>
        <v>2011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s="2">
        <f>DATE(mergedcleandataset[[#This Row],[yr]],mergedcleandataset[[#This Row],[mnth]],mergedcleandataset[[#This Row],[day]])</f>
        <v>40559</v>
      </c>
      <c r="R371">
        <f>DAY(mergedcleandataset[[#This Row],[dteday]])</f>
        <v>16</v>
      </c>
      <c r="S371" t="str">
        <f>IF(mergedcleandataset[[#This Row],[weekday]]&gt;=5,"Yes","No")</f>
        <v>No</v>
      </c>
      <c r="T371" t="b">
        <f>ISBLANK(mergedcleandataset[[#This Row],[atemp]])</f>
        <v>0</v>
      </c>
      <c r="U371" t="str">
        <f t="shared" si="5"/>
        <v>Spring</v>
      </c>
      <c r="V371" t="str">
        <f>TEXT(mergedcleandataset[[#This Row],[date]],"dddd")</f>
        <v>Sunday</v>
      </c>
      <c r="W3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72" spans="1:23" x14ac:dyDescent="0.25">
      <c r="A372">
        <v>371</v>
      </c>
      <c r="B372" s="1">
        <v>40559</v>
      </c>
      <c r="C372">
        <v>1</v>
      </c>
      <c r="D372" t="str">
        <f>TEXT(mergedcleandataset[[#This Row],[dteday]],"yyyy")</f>
        <v>2011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s="2">
        <f>DATE(mergedcleandataset[[#This Row],[yr]],mergedcleandataset[[#This Row],[mnth]],mergedcleandataset[[#This Row],[day]])</f>
        <v>40559</v>
      </c>
      <c r="R372">
        <f>DAY(mergedcleandataset[[#This Row],[dteday]])</f>
        <v>16</v>
      </c>
      <c r="S372" t="str">
        <f>IF(mergedcleandataset[[#This Row],[weekday]]&gt;=5,"Yes","No")</f>
        <v>No</v>
      </c>
      <c r="T372" t="b">
        <f>ISBLANK(mergedcleandataset[[#This Row],[atemp]])</f>
        <v>0</v>
      </c>
      <c r="U372" t="str">
        <f t="shared" si="5"/>
        <v>Spring</v>
      </c>
      <c r="V372" t="str">
        <f>TEXT(mergedcleandataset[[#This Row],[date]],"dddd")</f>
        <v>Sunday</v>
      </c>
      <c r="W37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3" spans="1:23" x14ac:dyDescent="0.25">
      <c r="A373">
        <v>372</v>
      </c>
      <c r="B373" s="1">
        <v>40559</v>
      </c>
      <c r="C373">
        <v>1</v>
      </c>
      <c r="D373" t="str">
        <f>TEXT(mergedcleandataset[[#This Row],[dteday]],"yyyy")</f>
        <v>2011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s="2">
        <f>DATE(mergedcleandataset[[#This Row],[yr]],mergedcleandataset[[#This Row],[mnth]],mergedcleandataset[[#This Row],[day]])</f>
        <v>40559</v>
      </c>
      <c r="R373">
        <f>DAY(mergedcleandataset[[#This Row],[dteday]])</f>
        <v>16</v>
      </c>
      <c r="S373" t="str">
        <f>IF(mergedcleandataset[[#This Row],[weekday]]&gt;=5,"Yes","No")</f>
        <v>No</v>
      </c>
      <c r="T373" t="b">
        <f>ISBLANK(mergedcleandataset[[#This Row],[atemp]])</f>
        <v>0</v>
      </c>
      <c r="U373" t="str">
        <f t="shared" si="5"/>
        <v>Spring</v>
      </c>
      <c r="V373" t="str">
        <f>TEXT(mergedcleandataset[[#This Row],[date]],"dddd")</f>
        <v>Sunday</v>
      </c>
      <c r="W37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4" spans="1:23" x14ac:dyDescent="0.25">
      <c r="A374">
        <v>373</v>
      </c>
      <c r="B374" s="1">
        <v>40560</v>
      </c>
      <c r="C374">
        <v>1</v>
      </c>
      <c r="D374" t="str">
        <f>TEXT(mergedcleandataset[[#This Row],[dteday]],"yyyy")</f>
        <v>2011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s="2">
        <f>DATE(mergedcleandataset[[#This Row],[yr]],mergedcleandataset[[#This Row],[mnth]],mergedcleandataset[[#This Row],[day]])</f>
        <v>40560</v>
      </c>
      <c r="R374">
        <f>DAY(mergedcleandataset[[#This Row],[dteday]])</f>
        <v>17</v>
      </c>
      <c r="S374" t="str">
        <f>IF(mergedcleandataset[[#This Row],[weekday]]&gt;=5,"Yes","No")</f>
        <v>No</v>
      </c>
      <c r="T374" t="b">
        <f>ISBLANK(mergedcleandataset[[#This Row],[atemp]])</f>
        <v>0</v>
      </c>
      <c r="U374" t="str">
        <f t="shared" si="5"/>
        <v>Spring</v>
      </c>
      <c r="V374" t="str">
        <f>TEXT(mergedcleandataset[[#This Row],[date]],"dddd")</f>
        <v>Monday</v>
      </c>
      <c r="W37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5" spans="1:23" x14ac:dyDescent="0.25">
      <c r="A375">
        <v>374</v>
      </c>
      <c r="B375" s="1">
        <v>40560</v>
      </c>
      <c r="C375">
        <v>1</v>
      </c>
      <c r="D375" t="str">
        <f>TEXT(mergedcleandataset[[#This Row],[dteday]],"yyyy")</f>
        <v>2011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s="2">
        <f>DATE(mergedcleandataset[[#This Row],[yr]],mergedcleandataset[[#This Row],[mnth]],mergedcleandataset[[#This Row],[day]])</f>
        <v>40560</v>
      </c>
      <c r="R375">
        <f>DAY(mergedcleandataset[[#This Row],[dteday]])</f>
        <v>17</v>
      </c>
      <c r="S375" t="str">
        <f>IF(mergedcleandataset[[#This Row],[weekday]]&gt;=5,"Yes","No")</f>
        <v>No</v>
      </c>
      <c r="T375" t="b">
        <f>ISBLANK(mergedcleandataset[[#This Row],[atemp]])</f>
        <v>0</v>
      </c>
      <c r="U375" t="str">
        <f t="shared" si="5"/>
        <v>Spring</v>
      </c>
      <c r="V375" t="str">
        <f>TEXT(mergedcleandataset[[#This Row],[date]],"dddd")</f>
        <v>Monday</v>
      </c>
      <c r="W37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6" spans="1:23" x14ac:dyDescent="0.25">
      <c r="A376">
        <v>375</v>
      </c>
      <c r="B376" s="1">
        <v>40560</v>
      </c>
      <c r="C376">
        <v>1</v>
      </c>
      <c r="D376" t="str">
        <f>TEXT(mergedcleandataset[[#This Row],[dteday]],"yyyy")</f>
        <v>2011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s="2">
        <f>DATE(mergedcleandataset[[#This Row],[yr]],mergedcleandataset[[#This Row],[mnth]],mergedcleandataset[[#This Row],[day]])</f>
        <v>40560</v>
      </c>
      <c r="R376">
        <f>DAY(mergedcleandataset[[#This Row],[dteday]])</f>
        <v>17</v>
      </c>
      <c r="S376" t="str">
        <f>IF(mergedcleandataset[[#This Row],[weekday]]&gt;=5,"Yes","No")</f>
        <v>No</v>
      </c>
      <c r="T376" t="b">
        <f>ISBLANK(mergedcleandataset[[#This Row],[atemp]])</f>
        <v>0</v>
      </c>
      <c r="U376" t="str">
        <f t="shared" si="5"/>
        <v>Spring</v>
      </c>
      <c r="V376" t="str">
        <f>TEXT(mergedcleandataset[[#This Row],[date]],"dddd")</f>
        <v>Monday</v>
      </c>
      <c r="W37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7" spans="1:23" x14ac:dyDescent="0.25">
      <c r="A377">
        <v>376</v>
      </c>
      <c r="B377" s="1">
        <v>40560</v>
      </c>
      <c r="C377">
        <v>1</v>
      </c>
      <c r="D377" t="str">
        <f>TEXT(mergedcleandataset[[#This Row],[dteday]],"yyyy")</f>
        <v>2011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s="2">
        <f>DATE(mergedcleandataset[[#This Row],[yr]],mergedcleandataset[[#This Row],[mnth]],mergedcleandataset[[#This Row],[day]])</f>
        <v>40560</v>
      </c>
      <c r="R377">
        <f>DAY(mergedcleandataset[[#This Row],[dteday]])</f>
        <v>17</v>
      </c>
      <c r="S377" t="str">
        <f>IF(mergedcleandataset[[#This Row],[weekday]]&gt;=5,"Yes","No")</f>
        <v>No</v>
      </c>
      <c r="T377" t="b">
        <f>ISBLANK(mergedcleandataset[[#This Row],[atemp]])</f>
        <v>0</v>
      </c>
      <c r="U377" t="str">
        <f t="shared" si="5"/>
        <v>Spring</v>
      </c>
      <c r="V377" t="str">
        <f>TEXT(mergedcleandataset[[#This Row],[date]],"dddd")</f>
        <v>Monday</v>
      </c>
      <c r="W37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8" spans="1:23" x14ac:dyDescent="0.25">
      <c r="A378">
        <v>377</v>
      </c>
      <c r="B378" s="1">
        <v>40560</v>
      </c>
      <c r="C378">
        <v>1</v>
      </c>
      <c r="D378" t="str">
        <f>TEXT(mergedcleandataset[[#This Row],[dteday]],"yyyy")</f>
        <v>2011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s="2">
        <f>DATE(mergedcleandataset[[#This Row],[yr]],mergedcleandataset[[#This Row],[mnth]],mergedcleandataset[[#This Row],[day]])</f>
        <v>40560</v>
      </c>
      <c r="R378">
        <f>DAY(mergedcleandataset[[#This Row],[dteday]])</f>
        <v>17</v>
      </c>
      <c r="S378" t="str">
        <f>IF(mergedcleandataset[[#This Row],[weekday]]&gt;=5,"Yes","No")</f>
        <v>No</v>
      </c>
      <c r="T378" t="b">
        <f>ISBLANK(mergedcleandataset[[#This Row],[atemp]])</f>
        <v>0</v>
      </c>
      <c r="U378" t="str">
        <f t="shared" si="5"/>
        <v>Spring</v>
      </c>
      <c r="V378" t="str">
        <f>TEXT(mergedcleandataset[[#This Row],[date]],"dddd")</f>
        <v>Monday</v>
      </c>
      <c r="W37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79" spans="1:23" x14ac:dyDescent="0.25">
      <c r="A379">
        <v>378</v>
      </c>
      <c r="B379" s="1">
        <v>40560</v>
      </c>
      <c r="C379">
        <v>1</v>
      </c>
      <c r="D379" t="str">
        <f>TEXT(mergedcleandataset[[#This Row],[dteday]],"yyyy")</f>
        <v>2011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s="2">
        <f>DATE(mergedcleandataset[[#This Row],[yr]],mergedcleandataset[[#This Row],[mnth]],mergedcleandataset[[#This Row],[day]])</f>
        <v>40560</v>
      </c>
      <c r="R379">
        <f>DAY(mergedcleandataset[[#This Row],[dteday]])</f>
        <v>17</v>
      </c>
      <c r="S379" t="str">
        <f>IF(mergedcleandataset[[#This Row],[weekday]]&gt;=5,"Yes","No")</f>
        <v>No</v>
      </c>
      <c r="T379" t="b">
        <f>ISBLANK(mergedcleandataset[[#This Row],[atemp]])</f>
        <v>0</v>
      </c>
      <c r="U379" t="str">
        <f t="shared" si="5"/>
        <v>Spring</v>
      </c>
      <c r="V379" t="str">
        <f>TEXT(mergedcleandataset[[#This Row],[date]],"dddd")</f>
        <v>Monday</v>
      </c>
      <c r="W37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0" spans="1:23" x14ac:dyDescent="0.25">
      <c r="A380">
        <v>379</v>
      </c>
      <c r="B380" s="1">
        <v>40560</v>
      </c>
      <c r="C380">
        <v>1</v>
      </c>
      <c r="D380" t="str">
        <f>TEXT(mergedcleandataset[[#This Row],[dteday]],"yyyy")</f>
        <v>2011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s="2">
        <f>DATE(mergedcleandataset[[#This Row],[yr]],mergedcleandataset[[#This Row],[mnth]],mergedcleandataset[[#This Row],[day]])</f>
        <v>40560</v>
      </c>
      <c r="R380">
        <f>DAY(mergedcleandataset[[#This Row],[dteday]])</f>
        <v>17</v>
      </c>
      <c r="S380" t="str">
        <f>IF(mergedcleandataset[[#This Row],[weekday]]&gt;=5,"Yes","No")</f>
        <v>No</v>
      </c>
      <c r="T380" t="b">
        <f>ISBLANK(mergedcleandataset[[#This Row],[atemp]])</f>
        <v>0</v>
      </c>
      <c r="U380" t="str">
        <f t="shared" si="5"/>
        <v>Spring</v>
      </c>
      <c r="V380" t="str">
        <f>TEXT(mergedcleandataset[[#This Row],[date]],"dddd")</f>
        <v>Monday</v>
      </c>
      <c r="W38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1" spans="1:23" x14ac:dyDescent="0.25">
      <c r="A381">
        <v>380</v>
      </c>
      <c r="B381" s="1">
        <v>40560</v>
      </c>
      <c r="C381">
        <v>1</v>
      </c>
      <c r="D381" t="str">
        <f>TEXT(mergedcleandataset[[#This Row],[dteday]],"yyyy")</f>
        <v>2011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s="2">
        <f>DATE(mergedcleandataset[[#This Row],[yr]],mergedcleandataset[[#This Row],[mnth]],mergedcleandataset[[#This Row],[day]])</f>
        <v>40560</v>
      </c>
      <c r="R381">
        <f>DAY(mergedcleandataset[[#This Row],[dteday]])</f>
        <v>17</v>
      </c>
      <c r="S381" t="str">
        <f>IF(mergedcleandataset[[#This Row],[weekday]]&gt;=5,"Yes","No")</f>
        <v>No</v>
      </c>
      <c r="T381" t="b">
        <f>ISBLANK(mergedcleandataset[[#This Row],[atemp]])</f>
        <v>0</v>
      </c>
      <c r="U381" t="str">
        <f t="shared" si="5"/>
        <v>Spring</v>
      </c>
      <c r="V381" t="str">
        <f>TEXT(mergedcleandataset[[#This Row],[date]],"dddd")</f>
        <v>Monday</v>
      </c>
      <c r="W38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2" spans="1:23" x14ac:dyDescent="0.25">
      <c r="A382">
        <v>381</v>
      </c>
      <c r="B382" s="1">
        <v>40560</v>
      </c>
      <c r="C382">
        <v>1</v>
      </c>
      <c r="D382" t="str">
        <f>TEXT(mergedcleandataset[[#This Row],[dteday]],"yyyy")</f>
        <v>2011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s="2">
        <f>DATE(mergedcleandataset[[#This Row],[yr]],mergedcleandataset[[#This Row],[mnth]],mergedcleandataset[[#This Row],[day]])</f>
        <v>40560</v>
      </c>
      <c r="R382">
        <f>DAY(mergedcleandataset[[#This Row],[dteday]])</f>
        <v>17</v>
      </c>
      <c r="S382" t="str">
        <f>IF(mergedcleandataset[[#This Row],[weekday]]&gt;=5,"Yes","No")</f>
        <v>No</v>
      </c>
      <c r="T382" t="b">
        <f>ISBLANK(mergedcleandataset[[#This Row],[atemp]])</f>
        <v>0</v>
      </c>
      <c r="U382" t="str">
        <f t="shared" si="5"/>
        <v>Spring</v>
      </c>
      <c r="V382" t="str">
        <f>TEXT(mergedcleandataset[[#This Row],[date]],"dddd")</f>
        <v>Monday</v>
      </c>
      <c r="W38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3" spans="1:23" x14ac:dyDescent="0.25">
      <c r="A383">
        <v>382</v>
      </c>
      <c r="B383" s="1">
        <v>40560</v>
      </c>
      <c r="C383">
        <v>1</v>
      </c>
      <c r="D383" t="str">
        <f>TEXT(mergedcleandataset[[#This Row],[dteday]],"yyyy")</f>
        <v>2011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s="2">
        <f>DATE(mergedcleandataset[[#This Row],[yr]],mergedcleandataset[[#This Row],[mnth]],mergedcleandataset[[#This Row],[day]])</f>
        <v>40560</v>
      </c>
      <c r="R383">
        <f>DAY(mergedcleandataset[[#This Row],[dteday]])</f>
        <v>17</v>
      </c>
      <c r="S383" t="str">
        <f>IF(mergedcleandataset[[#This Row],[weekday]]&gt;=5,"Yes","No")</f>
        <v>No</v>
      </c>
      <c r="T383" t="b">
        <f>ISBLANK(mergedcleandataset[[#This Row],[atemp]])</f>
        <v>0</v>
      </c>
      <c r="U383" t="str">
        <f t="shared" si="5"/>
        <v>Spring</v>
      </c>
      <c r="V383" t="str">
        <f>TEXT(mergedcleandataset[[#This Row],[date]],"dddd")</f>
        <v>Monday</v>
      </c>
      <c r="W38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4" spans="1:23" x14ac:dyDescent="0.25">
      <c r="A384">
        <v>383</v>
      </c>
      <c r="B384" s="1">
        <v>40560</v>
      </c>
      <c r="C384">
        <v>1</v>
      </c>
      <c r="D384" t="str">
        <f>TEXT(mergedcleandataset[[#This Row],[dteday]],"yyyy")</f>
        <v>2011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s="2">
        <f>DATE(mergedcleandataset[[#This Row],[yr]],mergedcleandataset[[#This Row],[mnth]],mergedcleandataset[[#This Row],[day]])</f>
        <v>40560</v>
      </c>
      <c r="R384">
        <f>DAY(mergedcleandataset[[#This Row],[dteday]])</f>
        <v>17</v>
      </c>
      <c r="S384" t="str">
        <f>IF(mergedcleandataset[[#This Row],[weekday]]&gt;=5,"Yes","No")</f>
        <v>No</v>
      </c>
      <c r="T384" t="b">
        <f>ISBLANK(mergedcleandataset[[#This Row],[atemp]])</f>
        <v>0</v>
      </c>
      <c r="U384" t="str">
        <f t="shared" si="5"/>
        <v>Spring</v>
      </c>
      <c r="V384" t="str">
        <f>TEXT(mergedcleandataset[[#This Row],[date]],"dddd")</f>
        <v>Monday</v>
      </c>
      <c r="W38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5" spans="1:23" x14ac:dyDescent="0.25">
      <c r="A385">
        <v>384</v>
      </c>
      <c r="B385" s="1">
        <v>40560</v>
      </c>
      <c r="C385">
        <v>1</v>
      </c>
      <c r="D385" t="str">
        <f>TEXT(mergedcleandataset[[#This Row],[dteday]],"yyyy")</f>
        <v>2011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s="2">
        <f>DATE(mergedcleandataset[[#This Row],[yr]],mergedcleandataset[[#This Row],[mnth]],mergedcleandataset[[#This Row],[day]])</f>
        <v>40560</v>
      </c>
      <c r="R385">
        <f>DAY(mergedcleandataset[[#This Row],[dteday]])</f>
        <v>17</v>
      </c>
      <c r="S385" t="str">
        <f>IF(mergedcleandataset[[#This Row],[weekday]]&gt;=5,"Yes","No")</f>
        <v>No</v>
      </c>
      <c r="T385" t="b">
        <f>ISBLANK(mergedcleandataset[[#This Row],[atemp]])</f>
        <v>0</v>
      </c>
      <c r="U385" t="str">
        <f t="shared" si="5"/>
        <v>Spring</v>
      </c>
      <c r="V385" t="str">
        <f>TEXT(mergedcleandataset[[#This Row],[date]],"dddd")</f>
        <v>Monday</v>
      </c>
      <c r="W38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6" spans="1:23" x14ac:dyDescent="0.25">
      <c r="A386">
        <v>385</v>
      </c>
      <c r="B386" s="1">
        <v>40560</v>
      </c>
      <c r="C386">
        <v>1</v>
      </c>
      <c r="D386" t="str">
        <f>TEXT(mergedcleandataset[[#This Row],[dteday]],"yyyy")</f>
        <v>2011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s="2">
        <f>DATE(mergedcleandataset[[#This Row],[yr]],mergedcleandataset[[#This Row],[mnth]],mergedcleandataset[[#This Row],[day]])</f>
        <v>40560</v>
      </c>
      <c r="R386">
        <f>DAY(mergedcleandataset[[#This Row],[dteday]])</f>
        <v>17</v>
      </c>
      <c r="S386" t="str">
        <f>IF(mergedcleandataset[[#This Row],[weekday]]&gt;=5,"Yes","No")</f>
        <v>No</v>
      </c>
      <c r="T386" t="b">
        <f>ISBLANK(mergedcleandataset[[#This Row],[atemp]])</f>
        <v>0</v>
      </c>
      <c r="U386" t="str">
        <f t="shared" ref="U386:U449" si="6">IF(C386=1,"Spring",
IF(C386=2,"Summer",
IF(C386=3,"Fall",
IF(C386=4,"Winter","Unknown"))))</f>
        <v>Spring</v>
      </c>
      <c r="V386" t="str">
        <f>TEXT(mergedcleandataset[[#This Row],[date]],"dddd")</f>
        <v>Monday</v>
      </c>
      <c r="W38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7" spans="1:23" x14ac:dyDescent="0.25">
      <c r="A387">
        <v>386</v>
      </c>
      <c r="B387" s="1">
        <v>40560</v>
      </c>
      <c r="C387">
        <v>1</v>
      </c>
      <c r="D387" t="str">
        <f>TEXT(mergedcleandataset[[#This Row],[dteday]],"yyyy")</f>
        <v>2011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s="2">
        <f>DATE(mergedcleandataset[[#This Row],[yr]],mergedcleandataset[[#This Row],[mnth]],mergedcleandataset[[#This Row],[day]])</f>
        <v>40560</v>
      </c>
      <c r="R387">
        <f>DAY(mergedcleandataset[[#This Row],[dteday]])</f>
        <v>17</v>
      </c>
      <c r="S387" t="str">
        <f>IF(mergedcleandataset[[#This Row],[weekday]]&gt;=5,"Yes","No")</f>
        <v>No</v>
      </c>
      <c r="T387" t="b">
        <f>ISBLANK(mergedcleandataset[[#This Row],[atemp]])</f>
        <v>0</v>
      </c>
      <c r="U387" t="str">
        <f t="shared" si="6"/>
        <v>Spring</v>
      </c>
      <c r="V387" t="str">
        <f>TEXT(mergedcleandataset[[#This Row],[date]],"dddd")</f>
        <v>Monday</v>
      </c>
      <c r="W38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8" spans="1:23" x14ac:dyDescent="0.25">
      <c r="A388">
        <v>387</v>
      </c>
      <c r="B388" s="1">
        <v>40560</v>
      </c>
      <c r="C388">
        <v>1</v>
      </c>
      <c r="D388" t="str">
        <f>TEXT(mergedcleandataset[[#This Row],[dteday]],"yyyy")</f>
        <v>2011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s="2">
        <f>DATE(mergedcleandataset[[#This Row],[yr]],mergedcleandataset[[#This Row],[mnth]],mergedcleandataset[[#This Row],[day]])</f>
        <v>40560</v>
      </c>
      <c r="R388">
        <f>DAY(mergedcleandataset[[#This Row],[dteday]])</f>
        <v>17</v>
      </c>
      <c r="S388" t="str">
        <f>IF(mergedcleandataset[[#This Row],[weekday]]&gt;=5,"Yes","No")</f>
        <v>No</v>
      </c>
      <c r="T388" t="b">
        <f>ISBLANK(mergedcleandataset[[#This Row],[atemp]])</f>
        <v>0</v>
      </c>
      <c r="U388" t="str">
        <f t="shared" si="6"/>
        <v>Spring</v>
      </c>
      <c r="V388" t="str">
        <f>TEXT(mergedcleandataset[[#This Row],[date]],"dddd")</f>
        <v>Monday</v>
      </c>
      <c r="W38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89" spans="1:23" x14ac:dyDescent="0.25">
      <c r="A389">
        <v>388</v>
      </c>
      <c r="B389" s="1">
        <v>40560</v>
      </c>
      <c r="C389">
        <v>1</v>
      </c>
      <c r="D389" t="str">
        <f>TEXT(mergedcleandataset[[#This Row],[dteday]],"yyyy")</f>
        <v>2011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s="2">
        <f>DATE(mergedcleandataset[[#This Row],[yr]],mergedcleandataset[[#This Row],[mnth]],mergedcleandataset[[#This Row],[day]])</f>
        <v>40560</v>
      </c>
      <c r="R389">
        <f>DAY(mergedcleandataset[[#This Row],[dteday]])</f>
        <v>17</v>
      </c>
      <c r="S389" t="str">
        <f>IF(mergedcleandataset[[#This Row],[weekday]]&gt;=5,"Yes","No")</f>
        <v>No</v>
      </c>
      <c r="T389" t="b">
        <f>ISBLANK(mergedcleandataset[[#This Row],[atemp]])</f>
        <v>0</v>
      </c>
      <c r="U389" t="str">
        <f t="shared" si="6"/>
        <v>Spring</v>
      </c>
      <c r="V389" t="str">
        <f>TEXT(mergedcleandataset[[#This Row],[date]],"dddd")</f>
        <v>Monday</v>
      </c>
      <c r="W38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90" spans="1:23" x14ac:dyDescent="0.25">
      <c r="A390">
        <v>389</v>
      </c>
      <c r="B390" s="1">
        <v>40560</v>
      </c>
      <c r="C390">
        <v>1</v>
      </c>
      <c r="D390" t="str">
        <f>TEXT(mergedcleandataset[[#This Row],[dteday]],"yyyy")</f>
        <v>2011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s="2">
        <f>DATE(mergedcleandataset[[#This Row],[yr]],mergedcleandataset[[#This Row],[mnth]],mergedcleandataset[[#This Row],[day]])</f>
        <v>40560</v>
      </c>
      <c r="R390">
        <f>DAY(mergedcleandataset[[#This Row],[dteday]])</f>
        <v>17</v>
      </c>
      <c r="S390" t="str">
        <f>IF(mergedcleandataset[[#This Row],[weekday]]&gt;=5,"Yes","No")</f>
        <v>No</v>
      </c>
      <c r="T390" t="b">
        <f>ISBLANK(mergedcleandataset[[#This Row],[atemp]])</f>
        <v>0</v>
      </c>
      <c r="U390" t="str">
        <f t="shared" si="6"/>
        <v>Spring</v>
      </c>
      <c r="V390" t="str">
        <f>TEXT(mergedcleandataset[[#This Row],[date]],"dddd")</f>
        <v>Monday</v>
      </c>
      <c r="W39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91" spans="1:23" x14ac:dyDescent="0.25">
      <c r="A391">
        <v>390</v>
      </c>
      <c r="B391" s="1">
        <v>40560</v>
      </c>
      <c r="C391">
        <v>1</v>
      </c>
      <c r="D391" t="str">
        <f>TEXT(mergedcleandataset[[#This Row],[dteday]],"yyyy")</f>
        <v>2011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s="2">
        <f>DATE(mergedcleandataset[[#This Row],[yr]],mergedcleandataset[[#This Row],[mnth]],mergedcleandataset[[#This Row],[day]])</f>
        <v>40560</v>
      </c>
      <c r="R391">
        <f>DAY(mergedcleandataset[[#This Row],[dteday]])</f>
        <v>17</v>
      </c>
      <c r="S391" t="str">
        <f>IF(mergedcleandataset[[#This Row],[weekday]]&gt;=5,"Yes","No")</f>
        <v>No</v>
      </c>
      <c r="T391" t="b">
        <f>ISBLANK(mergedcleandataset[[#This Row],[atemp]])</f>
        <v>0</v>
      </c>
      <c r="U391" t="str">
        <f t="shared" si="6"/>
        <v>Spring</v>
      </c>
      <c r="V391" t="str">
        <f>TEXT(mergedcleandataset[[#This Row],[date]],"dddd")</f>
        <v>Monday</v>
      </c>
      <c r="W39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392" spans="1:23" x14ac:dyDescent="0.25">
      <c r="A392">
        <v>391</v>
      </c>
      <c r="B392" s="1">
        <v>40560</v>
      </c>
      <c r="C392">
        <v>1</v>
      </c>
      <c r="D392" t="str">
        <f>TEXT(mergedcleandataset[[#This Row],[dteday]],"yyyy")</f>
        <v>2011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s="2">
        <f>DATE(mergedcleandataset[[#This Row],[yr]],mergedcleandataset[[#This Row],[mnth]],mergedcleandataset[[#This Row],[day]])</f>
        <v>40560</v>
      </c>
      <c r="R392">
        <f>DAY(mergedcleandataset[[#This Row],[dteday]])</f>
        <v>17</v>
      </c>
      <c r="S392" t="str">
        <f>IF(mergedcleandataset[[#This Row],[weekday]]&gt;=5,"Yes","No")</f>
        <v>No</v>
      </c>
      <c r="T392" t="b">
        <f>ISBLANK(mergedcleandataset[[#This Row],[atemp]])</f>
        <v>0</v>
      </c>
      <c r="U392" t="str">
        <f t="shared" si="6"/>
        <v>Spring</v>
      </c>
      <c r="V392" t="str">
        <f>TEXT(mergedcleandataset[[#This Row],[date]],"dddd")</f>
        <v>Monday</v>
      </c>
      <c r="W39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93" spans="1:23" x14ac:dyDescent="0.25">
      <c r="A393">
        <v>392</v>
      </c>
      <c r="B393" s="1">
        <v>40560</v>
      </c>
      <c r="C393">
        <v>1</v>
      </c>
      <c r="D393" t="str">
        <f>TEXT(mergedcleandataset[[#This Row],[dteday]],"yyyy")</f>
        <v>2011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s="2">
        <f>DATE(mergedcleandataset[[#This Row],[yr]],mergedcleandataset[[#This Row],[mnth]],mergedcleandataset[[#This Row],[day]])</f>
        <v>40560</v>
      </c>
      <c r="R393">
        <f>DAY(mergedcleandataset[[#This Row],[dteday]])</f>
        <v>17</v>
      </c>
      <c r="S393" t="str">
        <f>IF(mergedcleandataset[[#This Row],[weekday]]&gt;=5,"Yes","No")</f>
        <v>No</v>
      </c>
      <c r="T393" t="b">
        <f>ISBLANK(mergedcleandataset[[#This Row],[atemp]])</f>
        <v>0</v>
      </c>
      <c r="U393" t="str">
        <f t="shared" si="6"/>
        <v>Spring</v>
      </c>
      <c r="V393" t="str">
        <f>TEXT(mergedcleandataset[[#This Row],[date]],"dddd")</f>
        <v>Monday</v>
      </c>
      <c r="W39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94" spans="1:23" x14ac:dyDescent="0.25">
      <c r="A394">
        <v>393</v>
      </c>
      <c r="B394" s="1">
        <v>40560</v>
      </c>
      <c r="C394">
        <v>1</v>
      </c>
      <c r="D394" t="str">
        <f>TEXT(mergedcleandataset[[#This Row],[dteday]],"yyyy")</f>
        <v>2011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s="2">
        <f>DATE(mergedcleandataset[[#This Row],[yr]],mergedcleandataset[[#This Row],[mnth]],mergedcleandataset[[#This Row],[day]])</f>
        <v>40560</v>
      </c>
      <c r="R394">
        <f>DAY(mergedcleandataset[[#This Row],[dteday]])</f>
        <v>17</v>
      </c>
      <c r="S394" t="str">
        <f>IF(mergedcleandataset[[#This Row],[weekday]]&gt;=5,"Yes","No")</f>
        <v>No</v>
      </c>
      <c r="T394" t="b">
        <f>ISBLANK(mergedcleandataset[[#This Row],[atemp]])</f>
        <v>0</v>
      </c>
      <c r="U394" t="str">
        <f t="shared" si="6"/>
        <v>Spring</v>
      </c>
      <c r="V394" t="str">
        <f>TEXT(mergedcleandataset[[#This Row],[date]],"dddd")</f>
        <v>Monday</v>
      </c>
      <c r="W39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95" spans="1:23" x14ac:dyDescent="0.25">
      <c r="A395">
        <v>394</v>
      </c>
      <c r="B395" s="1">
        <v>40560</v>
      </c>
      <c r="C395">
        <v>1</v>
      </c>
      <c r="D395" t="str">
        <f>TEXT(mergedcleandataset[[#This Row],[dteday]],"yyyy")</f>
        <v>2011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s="2">
        <f>DATE(mergedcleandataset[[#This Row],[yr]],mergedcleandataset[[#This Row],[mnth]],mergedcleandataset[[#This Row],[day]])</f>
        <v>40560</v>
      </c>
      <c r="R395">
        <f>DAY(mergedcleandataset[[#This Row],[dteday]])</f>
        <v>17</v>
      </c>
      <c r="S395" t="str">
        <f>IF(mergedcleandataset[[#This Row],[weekday]]&gt;=5,"Yes","No")</f>
        <v>No</v>
      </c>
      <c r="T395" t="b">
        <f>ISBLANK(mergedcleandataset[[#This Row],[atemp]])</f>
        <v>0</v>
      </c>
      <c r="U395" t="str">
        <f t="shared" si="6"/>
        <v>Spring</v>
      </c>
      <c r="V395" t="str">
        <f>TEXT(mergedcleandataset[[#This Row],[date]],"dddd")</f>
        <v>Monday</v>
      </c>
      <c r="W39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96" spans="1:23" x14ac:dyDescent="0.25">
      <c r="A396">
        <v>395</v>
      </c>
      <c r="B396" s="1">
        <v>40560</v>
      </c>
      <c r="C396">
        <v>1</v>
      </c>
      <c r="D396" t="str">
        <f>TEXT(mergedcleandataset[[#This Row],[dteday]],"yyyy")</f>
        <v>2011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s="2">
        <f>DATE(mergedcleandataset[[#This Row],[yr]],mergedcleandataset[[#This Row],[mnth]],mergedcleandataset[[#This Row],[day]])</f>
        <v>40560</v>
      </c>
      <c r="R396">
        <f>DAY(mergedcleandataset[[#This Row],[dteday]])</f>
        <v>17</v>
      </c>
      <c r="S396" t="str">
        <f>IF(mergedcleandataset[[#This Row],[weekday]]&gt;=5,"Yes","No")</f>
        <v>No</v>
      </c>
      <c r="T396" t="b">
        <f>ISBLANK(mergedcleandataset[[#This Row],[atemp]])</f>
        <v>0</v>
      </c>
      <c r="U396" t="str">
        <f t="shared" si="6"/>
        <v>Spring</v>
      </c>
      <c r="V396" t="str">
        <f>TEXT(mergedcleandataset[[#This Row],[date]],"dddd")</f>
        <v>Monday</v>
      </c>
      <c r="W39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97" spans="1:23" x14ac:dyDescent="0.25">
      <c r="A397">
        <v>396</v>
      </c>
      <c r="B397" s="1">
        <v>40560</v>
      </c>
      <c r="C397">
        <v>1</v>
      </c>
      <c r="D397" t="str">
        <f>TEXT(mergedcleandataset[[#This Row],[dteday]],"yyyy")</f>
        <v>2011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s="2">
        <f>DATE(mergedcleandataset[[#This Row],[yr]],mergedcleandataset[[#This Row],[mnth]],mergedcleandataset[[#This Row],[day]])</f>
        <v>40560</v>
      </c>
      <c r="R397">
        <f>DAY(mergedcleandataset[[#This Row],[dteday]])</f>
        <v>17</v>
      </c>
      <c r="S397" t="str">
        <f>IF(mergedcleandataset[[#This Row],[weekday]]&gt;=5,"Yes","No")</f>
        <v>No</v>
      </c>
      <c r="T397" t="b">
        <f>ISBLANK(mergedcleandataset[[#This Row],[atemp]])</f>
        <v>0</v>
      </c>
      <c r="U397" t="str">
        <f t="shared" si="6"/>
        <v>Spring</v>
      </c>
      <c r="V397" t="str">
        <f>TEXT(mergedcleandataset[[#This Row],[date]],"dddd")</f>
        <v>Monday</v>
      </c>
      <c r="W39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398" spans="1:23" x14ac:dyDescent="0.25">
      <c r="A398">
        <v>397</v>
      </c>
      <c r="B398" s="1">
        <v>40561</v>
      </c>
      <c r="C398">
        <v>1</v>
      </c>
      <c r="D398" t="str">
        <f>TEXT(mergedcleandataset[[#This Row],[dteday]],"yyyy")</f>
        <v>2011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s="2">
        <f>DATE(mergedcleandataset[[#This Row],[yr]],mergedcleandataset[[#This Row],[mnth]],mergedcleandataset[[#This Row],[day]])</f>
        <v>40561</v>
      </c>
      <c r="R398">
        <f>DAY(mergedcleandataset[[#This Row],[dteday]])</f>
        <v>18</v>
      </c>
      <c r="S398" t="str">
        <f>IF(mergedcleandataset[[#This Row],[weekday]]&gt;=5,"Yes","No")</f>
        <v>No</v>
      </c>
      <c r="T398" t="b">
        <f>ISBLANK(mergedcleandataset[[#This Row],[atemp]])</f>
        <v>0</v>
      </c>
      <c r="U398" t="str">
        <f t="shared" si="6"/>
        <v>Spring</v>
      </c>
      <c r="V398" t="str">
        <f>TEXT(mergedcleandataset[[#This Row],[date]],"dddd")</f>
        <v>Tuesday</v>
      </c>
      <c r="W39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399" spans="1:23" x14ac:dyDescent="0.25">
      <c r="A399">
        <v>398</v>
      </c>
      <c r="B399" s="1">
        <v>40561</v>
      </c>
      <c r="C399">
        <v>1</v>
      </c>
      <c r="D399" t="str">
        <f>TEXT(mergedcleandataset[[#This Row],[dteday]],"yyyy")</f>
        <v>2011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s="2">
        <f>DATE(mergedcleandataset[[#This Row],[yr]],mergedcleandataset[[#This Row],[mnth]],mergedcleandataset[[#This Row],[day]])</f>
        <v>40561</v>
      </c>
      <c r="R399">
        <f>DAY(mergedcleandataset[[#This Row],[dteday]])</f>
        <v>18</v>
      </c>
      <c r="S399" t="str">
        <f>IF(mergedcleandataset[[#This Row],[weekday]]&gt;=5,"Yes","No")</f>
        <v>No</v>
      </c>
      <c r="T399" t="b">
        <f>ISBLANK(mergedcleandataset[[#This Row],[atemp]])</f>
        <v>0</v>
      </c>
      <c r="U399" t="str">
        <f t="shared" si="6"/>
        <v>Spring</v>
      </c>
      <c r="V399" t="str">
        <f>TEXT(mergedcleandataset[[#This Row],[date]],"dddd")</f>
        <v>Tuesday</v>
      </c>
      <c r="W39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0" spans="1:23" x14ac:dyDescent="0.25">
      <c r="A400">
        <v>399</v>
      </c>
      <c r="B400" s="1">
        <v>40561</v>
      </c>
      <c r="C400">
        <v>1</v>
      </c>
      <c r="D400" t="str">
        <f>TEXT(mergedcleandataset[[#This Row],[dteday]],"yyyy")</f>
        <v>2011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s="2">
        <f>DATE(mergedcleandataset[[#This Row],[yr]],mergedcleandataset[[#This Row],[mnth]],mergedcleandataset[[#This Row],[day]])</f>
        <v>40561</v>
      </c>
      <c r="R400">
        <f>DAY(mergedcleandataset[[#This Row],[dteday]])</f>
        <v>18</v>
      </c>
      <c r="S400" t="str">
        <f>IF(mergedcleandataset[[#This Row],[weekday]]&gt;=5,"Yes","No")</f>
        <v>No</v>
      </c>
      <c r="T400" t="b">
        <f>ISBLANK(mergedcleandataset[[#This Row],[atemp]])</f>
        <v>0</v>
      </c>
      <c r="U400" t="str">
        <f t="shared" si="6"/>
        <v>Spring</v>
      </c>
      <c r="V400" t="str">
        <f>TEXT(mergedcleandataset[[#This Row],[date]],"dddd")</f>
        <v>Tuesday</v>
      </c>
      <c r="W40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1" spans="1:23" x14ac:dyDescent="0.25">
      <c r="A401">
        <v>400</v>
      </c>
      <c r="B401" s="1">
        <v>40561</v>
      </c>
      <c r="C401">
        <v>1</v>
      </c>
      <c r="D401" t="str">
        <f>TEXT(mergedcleandataset[[#This Row],[dteday]],"yyyy")</f>
        <v>2011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s="2">
        <f>DATE(mergedcleandataset[[#This Row],[yr]],mergedcleandataset[[#This Row],[mnth]],mergedcleandataset[[#This Row],[day]])</f>
        <v>40561</v>
      </c>
      <c r="R401">
        <f>DAY(mergedcleandataset[[#This Row],[dteday]])</f>
        <v>18</v>
      </c>
      <c r="S401" t="str">
        <f>IF(mergedcleandataset[[#This Row],[weekday]]&gt;=5,"Yes","No")</f>
        <v>No</v>
      </c>
      <c r="T401" t="b">
        <f>ISBLANK(mergedcleandataset[[#This Row],[atemp]])</f>
        <v>0</v>
      </c>
      <c r="U401" t="str">
        <f t="shared" si="6"/>
        <v>Spring</v>
      </c>
      <c r="V401" t="str">
        <f>TEXT(mergedcleandataset[[#This Row],[date]],"dddd")</f>
        <v>Tuesday</v>
      </c>
      <c r="W40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2" spans="1:23" x14ac:dyDescent="0.25">
      <c r="A402">
        <v>401</v>
      </c>
      <c r="B402" s="1">
        <v>40561</v>
      </c>
      <c r="C402">
        <v>1</v>
      </c>
      <c r="D402" t="str">
        <f>TEXT(mergedcleandataset[[#This Row],[dteday]],"yyyy")</f>
        <v>2011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s="2">
        <f>DATE(mergedcleandataset[[#This Row],[yr]],mergedcleandataset[[#This Row],[mnth]],mergedcleandataset[[#This Row],[day]])</f>
        <v>40561</v>
      </c>
      <c r="R402">
        <f>DAY(mergedcleandataset[[#This Row],[dteday]])</f>
        <v>18</v>
      </c>
      <c r="S402" t="str">
        <f>IF(mergedcleandataset[[#This Row],[weekday]]&gt;=5,"Yes","No")</f>
        <v>No</v>
      </c>
      <c r="T402" t="b">
        <f>ISBLANK(mergedcleandataset[[#This Row],[atemp]])</f>
        <v>0</v>
      </c>
      <c r="U402" t="str">
        <f t="shared" si="6"/>
        <v>Spring</v>
      </c>
      <c r="V402" t="str">
        <f>TEXT(mergedcleandataset[[#This Row],[date]],"dddd")</f>
        <v>Tuesday</v>
      </c>
      <c r="W40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3" spans="1:23" x14ac:dyDescent="0.25">
      <c r="A403">
        <v>402</v>
      </c>
      <c r="B403" s="1">
        <v>40561</v>
      </c>
      <c r="C403">
        <v>1</v>
      </c>
      <c r="D403" t="str">
        <f>TEXT(mergedcleandataset[[#This Row],[dteday]],"yyyy")</f>
        <v>2011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s="2">
        <f>DATE(mergedcleandataset[[#This Row],[yr]],mergedcleandataset[[#This Row],[mnth]],mergedcleandataset[[#This Row],[day]])</f>
        <v>40561</v>
      </c>
      <c r="R403">
        <f>DAY(mergedcleandataset[[#This Row],[dteday]])</f>
        <v>18</v>
      </c>
      <c r="S403" t="str">
        <f>IF(mergedcleandataset[[#This Row],[weekday]]&gt;=5,"Yes","No")</f>
        <v>No</v>
      </c>
      <c r="T403" t="b">
        <f>ISBLANK(mergedcleandataset[[#This Row],[atemp]])</f>
        <v>0</v>
      </c>
      <c r="U403" t="str">
        <f t="shared" si="6"/>
        <v>Spring</v>
      </c>
      <c r="V403" t="str">
        <f>TEXT(mergedcleandataset[[#This Row],[date]],"dddd")</f>
        <v>Tuesday</v>
      </c>
      <c r="W40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4" spans="1:23" x14ac:dyDescent="0.25">
      <c r="A404">
        <v>403</v>
      </c>
      <c r="B404" s="1">
        <v>40561</v>
      </c>
      <c r="C404">
        <v>1</v>
      </c>
      <c r="D404" t="str">
        <f>TEXT(mergedcleandataset[[#This Row],[dteday]],"yyyy")</f>
        <v>2011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s="2">
        <f>DATE(mergedcleandataset[[#This Row],[yr]],mergedcleandataset[[#This Row],[mnth]],mergedcleandataset[[#This Row],[day]])</f>
        <v>40561</v>
      </c>
      <c r="R404">
        <f>DAY(mergedcleandataset[[#This Row],[dteday]])</f>
        <v>18</v>
      </c>
      <c r="S404" t="str">
        <f>IF(mergedcleandataset[[#This Row],[weekday]]&gt;=5,"Yes","No")</f>
        <v>No</v>
      </c>
      <c r="T404" t="b">
        <f>ISBLANK(mergedcleandataset[[#This Row],[atemp]])</f>
        <v>0</v>
      </c>
      <c r="U404" t="str">
        <f t="shared" si="6"/>
        <v>Spring</v>
      </c>
      <c r="V404" t="str">
        <f>TEXT(mergedcleandataset[[#This Row],[date]],"dddd")</f>
        <v>Tuesday</v>
      </c>
      <c r="W40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5" spans="1:23" x14ac:dyDescent="0.25">
      <c r="A405">
        <v>404</v>
      </c>
      <c r="B405" s="1">
        <v>40561</v>
      </c>
      <c r="C405">
        <v>1</v>
      </c>
      <c r="D405" t="str">
        <f>TEXT(mergedcleandataset[[#This Row],[dteday]],"yyyy")</f>
        <v>2011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s="2">
        <f>DATE(mergedcleandataset[[#This Row],[yr]],mergedcleandataset[[#This Row],[mnth]],mergedcleandataset[[#This Row],[day]])</f>
        <v>40561</v>
      </c>
      <c r="R405">
        <f>DAY(mergedcleandataset[[#This Row],[dteday]])</f>
        <v>18</v>
      </c>
      <c r="S405" t="str">
        <f>IF(mergedcleandataset[[#This Row],[weekday]]&gt;=5,"Yes","No")</f>
        <v>No</v>
      </c>
      <c r="T405" t="b">
        <f>ISBLANK(mergedcleandataset[[#This Row],[atemp]])</f>
        <v>0</v>
      </c>
      <c r="U405" t="str">
        <f t="shared" si="6"/>
        <v>Spring</v>
      </c>
      <c r="V405" t="str">
        <f>TEXT(mergedcleandataset[[#This Row],[date]],"dddd")</f>
        <v>Tuesday</v>
      </c>
      <c r="W40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6" spans="1:23" x14ac:dyDescent="0.25">
      <c r="A406">
        <v>405</v>
      </c>
      <c r="B406" s="1">
        <v>40561</v>
      </c>
      <c r="C406">
        <v>1</v>
      </c>
      <c r="D406" t="str">
        <f>TEXT(mergedcleandataset[[#This Row],[dteday]],"yyyy")</f>
        <v>2011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s="2">
        <f>DATE(mergedcleandataset[[#This Row],[yr]],mergedcleandataset[[#This Row],[mnth]],mergedcleandataset[[#This Row],[day]])</f>
        <v>40561</v>
      </c>
      <c r="R406">
        <f>DAY(mergedcleandataset[[#This Row],[dteday]])</f>
        <v>18</v>
      </c>
      <c r="S406" t="str">
        <f>IF(mergedcleandataset[[#This Row],[weekday]]&gt;=5,"Yes","No")</f>
        <v>No</v>
      </c>
      <c r="T406" t="b">
        <f>ISBLANK(mergedcleandataset[[#This Row],[atemp]])</f>
        <v>0</v>
      </c>
      <c r="U406" t="str">
        <f t="shared" si="6"/>
        <v>Spring</v>
      </c>
      <c r="V406" t="str">
        <f>TEXT(mergedcleandataset[[#This Row],[date]],"dddd")</f>
        <v>Tuesday</v>
      </c>
      <c r="W40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7" spans="1:23" x14ac:dyDescent="0.25">
      <c r="A407">
        <v>406</v>
      </c>
      <c r="B407" s="1">
        <v>40561</v>
      </c>
      <c r="C407">
        <v>1</v>
      </c>
      <c r="D407" t="str">
        <f>TEXT(mergedcleandataset[[#This Row],[dteday]],"yyyy")</f>
        <v>2011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s="2">
        <f>DATE(mergedcleandataset[[#This Row],[yr]],mergedcleandataset[[#This Row],[mnth]],mergedcleandataset[[#This Row],[day]])</f>
        <v>40561</v>
      </c>
      <c r="R407">
        <f>DAY(mergedcleandataset[[#This Row],[dteday]])</f>
        <v>18</v>
      </c>
      <c r="S407" t="str">
        <f>IF(mergedcleandataset[[#This Row],[weekday]]&gt;=5,"Yes","No")</f>
        <v>No</v>
      </c>
      <c r="T407" t="b">
        <f>ISBLANK(mergedcleandataset[[#This Row],[atemp]])</f>
        <v>0</v>
      </c>
      <c r="U407" t="str">
        <f t="shared" si="6"/>
        <v>Spring</v>
      </c>
      <c r="V407" t="str">
        <f>TEXT(mergedcleandataset[[#This Row],[date]],"dddd")</f>
        <v>Tuesday</v>
      </c>
      <c r="W40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8" spans="1:23" x14ac:dyDescent="0.25">
      <c r="A408">
        <v>407</v>
      </c>
      <c r="B408" s="1">
        <v>40561</v>
      </c>
      <c r="C408">
        <v>1</v>
      </c>
      <c r="D408" t="str">
        <f>TEXT(mergedcleandataset[[#This Row],[dteday]],"yyyy")</f>
        <v>2011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s="2">
        <f>DATE(mergedcleandataset[[#This Row],[yr]],mergedcleandataset[[#This Row],[mnth]],mergedcleandataset[[#This Row],[day]])</f>
        <v>40561</v>
      </c>
      <c r="R408">
        <f>DAY(mergedcleandataset[[#This Row],[dteday]])</f>
        <v>18</v>
      </c>
      <c r="S408" t="str">
        <f>IF(mergedcleandataset[[#This Row],[weekday]]&gt;=5,"Yes","No")</f>
        <v>No</v>
      </c>
      <c r="T408" t="b">
        <f>ISBLANK(mergedcleandataset[[#This Row],[atemp]])</f>
        <v>0</v>
      </c>
      <c r="U408" t="str">
        <f t="shared" si="6"/>
        <v>Spring</v>
      </c>
      <c r="V408" t="str">
        <f>TEXT(mergedcleandataset[[#This Row],[date]],"dddd")</f>
        <v>Tuesday</v>
      </c>
      <c r="W40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09" spans="1:23" x14ac:dyDescent="0.25">
      <c r="A409">
        <v>408</v>
      </c>
      <c r="B409" s="1">
        <v>40561</v>
      </c>
      <c r="C409">
        <v>1</v>
      </c>
      <c r="D409" t="str">
        <f>TEXT(mergedcleandataset[[#This Row],[dteday]],"yyyy")</f>
        <v>2011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s="2">
        <f>DATE(mergedcleandataset[[#This Row],[yr]],mergedcleandataset[[#This Row],[mnth]],mergedcleandataset[[#This Row],[day]])</f>
        <v>40561</v>
      </c>
      <c r="R409">
        <f>DAY(mergedcleandataset[[#This Row],[dteday]])</f>
        <v>18</v>
      </c>
      <c r="S409" t="str">
        <f>IF(mergedcleandataset[[#This Row],[weekday]]&gt;=5,"Yes","No")</f>
        <v>No</v>
      </c>
      <c r="T409" t="b">
        <f>ISBLANK(mergedcleandataset[[#This Row],[atemp]])</f>
        <v>0</v>
      </c>
      <c r="U409" t="str">
        <f t="shared" si="6"/>
        <v>Spring</v>
      </c>
      <c r="V409" t="str">
        <f>TEXT(mergedcleandataset[[#This Row],[date]],"dddd")</f>
        <v>Tuesday</v>
      </c>
      <c r="W40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0" spans="1:23" x14ac:dyDescent="0.25">
      <c r="A410">
        <v>409</v>
      </c>
      <c r="B410" s="1">
        <v>40562</v>
      </c>
      <c r="C410">
        <v>1</v>
      </c>
      <c r="D410" t="str">
        <f>TEXT(mergedcleandataset[[#This Row],[dteday]],"yyyy")</f>
        <v>2011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s="2">
        <f>DATE(mergedcleandataset[[#This Row],[yr]],mergedcleandataset[[#This Row],[mnth]],mergedcleandataset[[#This Row],[day]])</f>
        <v>40562</v>
      </c>
      <c r="R410">
        <f>DAY(mergedcleandataset[[#This Row],[dteday]])</f>
        <v>19</v>
      </c>
      <c r="S410" t="str">
        <f>IF(mergedcleandataset[[#This Row],[weekday]]&gt;=5,"Yes","No")</f>
        <v>No</v>
      </c>
      <c r="T410" t="b">
        <f>ISBLANK(mergedcleandataset[[#This Row],[atemp]])</f>
        <v>0</v>
      </c>
      <c r="U410" t="str">
        <f t="shared" si="6"/>
        <v>Spring</v>
      </c>
      <c r="V410" t="str">
        <f>TEXT(mergedcleandataset[[#This Row],[date]],"dddd")</f>
        <v>Wednesday</v>
      </c>
      <c r="W41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1" spans="1:23" x14ac:dyDescent="0.25">
      <c r="A411">
        <v>410</v>
      </c>
      <c r="B411" s="1">
        <v>40562</v>
      </c>
      <c r="C411">
        <v>1</v>
      </c>
      <c r="D411" t="str">
        <f>TEXT(mergedcleandataset[[#This Row],[dteday]],"yyyy")</f>
        <v>2011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s="2">
        <f>DATE(mergedcleandataset[[#This Row],[yr]],mergedcleandataset[[#This Row],[mnth]],mergedcleandataset[[#This Row],[day]])</f>
        <v>40562</v>
      </c>
      <c r="R411">
        <f>DAY(mergedcleandataset[[#This Row],[dteday]])</f>
        <v>19</v>
      </c>
      <c r="S411" t="str">
        <f>IF(mergedcleandataset[[#This Row],[weekday]]&gt;=5,"Yes","No")</f>
        <v>No</v>
      </c>
      <c r="T411" t="b">
        <f>ISBLANK(mergedcleandataset[[#This Row],[atemp]])</f>
        <v>0</v>
      </c>
      <c r="U411" t="str">
        <f t="shared" si="6"/>
        <v>Spring</v>
      </c>
      <c r="V411" t="str">
        <f>TEXT(mergedcleandataset[[#This Row],[date]],"dddd")</f>
        <v>Wednesday</v>
      </c>
      <c r="W41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12" spans="1:23" x14ac:dyDescent="0.25">
      <c r="A412">
        <v>411</v>
      </c>
      <c r="B412" s="1">
        <v>40562</v>
      </c>
      <c r="C412">
        <v>1</v>
      </c>
      <c r="D412" t="str">
        <f>TEXT(mergedcleandataset[[#This Row],[dteday]],"yyyy")</f>
        <v>2011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s="2">
        <f>DATE(mergedcleandataset[[#This Row],[yr]],mergedcleandataset[[#This Row],[mnth]],mergedcleandataset[[#This Row],[day]])</f>
        <v>40562</v>
      </c>
      <c r="R412">
        <f>DAY(mergedcleandataset[[#This Row],[dteday]])</f>
        <v>19</v>
      </c>
      <c r="S412" t="str">
        <f>IF(mergedcleandataset[[#This Row],[weekday]]&gt;=5,"Yes","No")</f>
        <v>No</v>
      </c>
      <c r="T412" t="b">
        <f>ISBLANK(mergedcleandataset[[#This Row],[atemp]])</f>
        <v>0</v>
      </c>
      <c r="U412" t="str">
        <f t="shared" si="6"/>
        <v>Spring</v>
      </c>
      <c r="V412" t="str">
        <f>TEXT(mergedcleandataset[[#This Row],[date]],"dddd")</f>
        <v>Wednesday</v>
      </c>
      <c r="W41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13" spans="1:23" x14ac:dyDescent="0.25">
      <c r="A413">
        <v>412</v>
      </c>
      <c r="B413" s="1">
        <v>40562</v>
      </c>
      <c r="C413">
        <v>1</v>
      </c>
      <c r="D413" t="str">
        <f>TEXT(mergedcleandataset[[#This Row],[dteday]],"yyyy")</f>
        <v>2011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s="2">
        <f>DATE(mergedcleandataset[[#This Row],[yr]],mergedcleandataset[[#This Row],[mnth]],mergedcleandataset[[#This Row],[day]])</f>
        <v>40562</v>
      </c>
      <c r="R413">
        <f>DAY(mergedcleandataset[[#This Row],[dteday]])</f>
        <v>19</v>
      </c>
      <c r="S413" t="str">
        <f>IF(mergedcleandataset[[#This Row],[weekday]]&gt;=5,"Yes","No")</f>
        <v>No</v>
      </c>
      <c r="T413" t="b">
        <f>ISBLANK(mergedcleandataset[[#This Row],[atemp]])</f>
        <v>0</v>
      </c>
      <c r="U413" t="str">
        <f t="shared" si="6"/>
        <v>Spring</v>
      </c>
      <c r="V413" t="str">
        <f>TEXT(mergedcleandataset[[#This Row],[date]],"dddd")</f>
        <v>Wednesday</v>
      </c>
      <c r="W41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14" spans="1:23" x14ac:dyDescent="0.25">
      <c r="A414">
        <v>413</v>
      </c>
      <c r="B414" s="1">
        <v>40562</v>
      </c>
      <c r="C414">
        <v>1</v>
      </c>
      <c r="D414" t="str">
        <f>TEXT(mergedcleandataset[[#This Row],[dteday]],"yyyy")</f>
        <v>2011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s="2">
        <f>DATE(mergedcleandataset[[#This Row],[yr]],mergedcleandataset[[#This Row],[mnth]],mergedcleandataset[[#This Row],[day]])</f>
        <v>40562</v>
      </c>
      <c r="R414">
        <f>DAY(mergedcleandataset[[#This Row],[dteday]])</f>
        <v>19</v>
      </c>
      <c r="S414" t="str">
        <f>IF(mergedcleandataset[[#This Row],[weekday]]&gt;=5,"Yes","No")</f>
        <v>No</v>
      </c>
      <c r="T414" t="b">
        <f>ISBLANK(mergedcleandataset[[#This Row],[atemp]])</f>
        <v>0</v>
      </c>
      <c r="U414" t="str">
        <f t="shared" si="6"/>
        <v>Spring</v>
      </c>
      <c r="V414" t="str">
        <f>TEXT(mergedcleandataset[[#This Row],[date]],"dddd")</f>
        <v>Wednesday</v>
      </c>
      <c r="W41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5" spans="1:23" x14ac:dyDescent="0.25">
      <c r="A415">
        <v>414</v>
      </c>
      <c r="B415" s="1">
        <v>40562</v>
      </c>
      <c r="C415">
        <v>1</v>
      </c>
      <c r="D415" t="str">
        <f>TEXT(mergedcleandataset[[#This Row],[dteday]],"yyyy")</f>
        <v>2011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s="2">
        <f>DATE(mergedcleandataset[[#This Row],[yr]],mergedcleandataset[[#This Row],[mnth]],mergedcleandataset[[#This Row],[day]])</f>
        <v>40562</v>
      </c>
      <c r="R415">
        <f>DAY(mergedcleandataset[[#This Row],[dteday]])</f>
        <v>19</v>
      </c>
      <c r="S415" t="str">
        <f>IF(mergedcleandataset[[#This Row],[weekday]]&gt;=5,"Yes","No")</f>
        <v>No</v>
      </c>
      <c r="T415" t="b">
        <f>ISBLANK(mergedcleandataset[[#This Row],[atemp]])</f>
        <v>0</v>
      </c>
      <c r="U415" t="str">
        <f t="shared" si="6"/>
        <v>Spring</v>
      </c>
      <c r="V415" t="str">
        <f>TEXT(mergedcleandataset[[#This Row],[date]],"dddd")</f>
        <v>Wednesday</v>
      </c>
      <c r="W41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6" spans="1:23" x14ac:dyDescent="0.25">
      <c r="A416">
        <v>415</v>
      </c>
      <c r="B416" s="1">
        <v>40562</v>
      </c>
      <c r="C416">
        <v>1</v>
      </c>
      <c r="D416" t="str">
        <f>TEXT(mergedcleandataset[[#This Row],[dteday]],"yyyy")</f>
        <v>2011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s="2">
        <f>DATE(mergedcleandataset[[#This Row],[yr]],mergedcleandataset[[#This Row],[mnth]],mergedcleandataset[[#This Row],[day]])</f>
        <v>40562</v>
      </c>
      <c r="R416">
        <f>DAY(mergedcleandataset[[#This Row],[dteday]])</f>
        <v>19</v>
      </c>
      <c r="S416" t="str">
        <f>IF(mergedcleandataset[[#This Row],[weekday]]&gt;=5,"Yes","No")</f>
        <v>No</v>
      </c>
      <c r="T416" t="b">
        <f>ISBLANK(mergedcleandataset[[#This Row],[atemp]])</f>
        <v>0</v>
      </c>
      <c r="U416" t="str">
        <f t="shared" si="6"/>
        <v>Spring</v>
      </c>
      <c r="V416" t="str">
        <f>TEXT(mergedcleandataset[[#This Row],[date]],"dddd")</f>
        <v>Wednesday</v>
      </c>
      <c r="W41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7" spans="1:23" x14ac:dyDescent="0.25">
      <c r="A417">
        <v>416</v>
      </c>
      <c r="B417" s="1">
        <v>40562</v>
      </c>
      <c r="C417">
        <v>1</v>
      </c>
      <c r="D417" t="str">
        <f>TEXT(mergedcleandataset[[#This Row],[dteday]],"yyyy")</f>
        <v>2011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s="2">
        <f>DATE(mergedcleandataset[[#This Row],[yr]],mergedcleandataset[[#This Row],[mnth]],mergedcleandataset[[#This Row],[day]])</f>
        <v>40562</v>
      </c>
      <c r="R417">
        <f>DAY(mergedcleandataset[[#This Row],[dteday]])</f>
        <v>19</v>
      </c>
      <c r="S417" t="str">
        <f>IF(mergedcleandataset[[#This Row],[weekday]]&gt;=5,"Yes","No")</f>
        <v>No</v>
      </c>
      <c r="T417" t="b">
        <f>ISBLANK(mergedcleandataset[[#This Row],[atemp]])</f>
        <v>0</v>
      </c>
      <c r="U417" t="str">
        <f t="shared" si="6"/>
        <v>Spring</v>
      </c>
      <c r="V417" t="str">
        <f>TEXT(mergedcleandataset[[#This Row],[date]],"dddd")</f>
        <v>Wednesday</v>
      </c>
      <c r="W41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8" spans="1:23" x14ac:dyDescent="0.25">
      <c r="A418">
        <v>417</v>
      </c>
      <c r="B418" s="1">
        <v>40562</v>
      </c>
      <c r="C418">
        <v>1</v>
      </c>
      <c r="D418" t="str">
        <f>TEXT(mergedcleandataset[[#This Row],[dteday]],"yyyy")</f>
        <v>2011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s="2">
        <f>DATE(mergedcleandataset[[#This Row],[yr]],mergedcleandataset[[#This Row],[mnth]],mergedcleandataset[[#This Row],[day]])</f>
        <v>40562</v>
      </c>
      <c r="R418">
        <f>DAY(mergedcleandataset[[#This Row],[dteday]])</f>
        <v>19</v>
      </c>
      <c r="S418" t="str">
        <f>IF(mergedcleandataset[[#This Row],[weekday]]&gt;=5,"Yes","No")</f>
        <v>No</v>
      </c>
      <c r="T418" t="b">
        <f>ISBLANK(mergedcleandataset[[#This Row],[atemp]])</f>
        <v>0</v>
      </c>
      <c r="U418" t="str">
        <f t="shared" si="6"/>
        <v>Spring</v>
      </c>
      <c r="V418" t="str">
        <f>TEXT(mergedcleandataset[[#This Row],[date]],"dddd")</f>
        <v>Wednesday</v>
      </c>
      <c r="W41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19" spans="1:23" x14ac:dyDescent="0.25">
      <c r="A419">
        <v>418</v>
      </c>
      <c r="B419" s="1">
        <v>40562</v>
      </c>
      <c r="C419">
        <v>1</v>
      </c>
      <c r="D419" t="str">
        <f>TEXT(mergedcleandataset[[#This Row],[dteday]],"yyyy")</f>
        <v>2011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s="2">
        <f>DATE(mergedcleandataset[[#This Row],[yr]],mergedcleandataset[[#This Row],[mnth]],mergedcleandataset[[#This Row],[day]])</f>
        <v>40562</v>
      </c>
      <c r="R419">
        <f>DAY(mergedcleandataset[[#This Row],[dteday]])</f>
        <v>19</v>
      </c>
      <c r="S419" t="str">
        <f>IF(mergedcleandataset[[#This Row],[weekday]]&gt;=5,"Yes","No")</f>
        <v>No</v>
      </c>
      <c r="T419" t="b">
        <f>ISBLANK(mergedcleandataset[[#This Row],[atemp]])</f>
        <v>0</v>
      </c>
      <c r="U419" t="str">
        <f t="shared" si="6"/>
        <v>Spring</v>
      </c>
      <c r="V419" t="str">
        <f>TEXT(mergedcleandataset[[#This Row],[date]],"dddd")</f>
        <v>Wednesday</v>
      </c>
      <c r="W41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20" spans="1:23" x14ac:dyDescent="0.25">
      <c r="A420">
        <v>419</v>
      </c>
      <c r="B420" s="1">
        <v>40562</v>
      </c>
      <c r="C420">
        <v>1</v>
      </c>
      <c r="D420" t="str">
        <f>TEXT(mergedcleandataset[[#This Row],[dteday]],"yyyy")</f>
        <v>2011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s="2">
        <f>DATE(mergedcleandataset[[#This Row],[yr]],mergedcleandataset[[#This Row],[mnth]],mergedcleandataset[[#This Row],[day]])</f>
        <v>40562</v>
      </c>
      <c r="R420">
        <f>DAY(mergedcleandataset[[#This Row],[dteday]])</f>
        <v>19</v>
      </c>
      <c r="S420" t="str">
        <f>IF(mergedcleandataset[[#This Row],[weekday]]&gt;=5,"Yes","No")</f>
        <v>No</v>
      </c>
      <c r="T420" t="b">
        <f>ISBLANK(mergedcleandataset[[#This Row],[atemp]])</f>
        <v>0</v>
      </c>
      <c r="U420" t="str">
        <f t="shared" si="6"/>
        <v>Spring</v>
      </c>
      <c r="V420" t="str">
        <f>TEXT(mergedcleandataset[[#This Row],[date]],"dddd")</f>
        <v>Wednesday</v>
      </c>
      <c r="W42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21" spans="1:23" x14ac:dyDescent="0.25">
      <c r="A421">
        <v>420</v>
      </c>
      <c r="B421" s="1">
        <v>40562</v>
      </c>
      <c r="C421">
        <v>1</v>
      </c>
      <c r="D421" t="str">
        <f>TEXT(mergedcleandataset[[#This Row],[dteday]],"yyyy")</f>
        <v>2011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s="2">
        <f>DATE(mergedcleandataset[[#This Row],[yr]],mergedcleandataset[[#This Row],[mnth]],mergedcleandataset[[#This Row],[day]])</f>
        <v>40562</v>
      </c>
      <c r="R421">
        <f>DAY(mergedcleandataset[[#This Row],[dteday]])</f>
        <v>19</v>
      </c>
      <c r="S421" t="str">
        <f>IF(mergedcleandataset[[#This Row],[weekday]]&gt;=5,"Yes","No")</f>
        <v>No</v>
      </c>
      <c r="T421" t="b">
        <f>ISBLANK(mergedcleandataset[[#This Row],[atemp]])</f>
        <v>0</v>
      </c>
      <c r="U421" t="str">
        <f t="shared" si="6"/>
        <v>Spring</v>
      </c>
      <c r="V421" t="str">
        <f>TEXT(mergedcleandataset[[#This Row],[date]],"dddd")</f>
        <v>Wednesday</v>
      </c>
      <c r="W42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22" spans="1:23" x14ac:dyDescent="0.25">
      <c r="A422">
        <v>421</v>
      </c>
      <c r="B422" s="1">
        <v>40562</v>
      </c>
      <c r="C422">
        <v>1</v>
      </c>
      <c r="D422" t="str">
        <f>TEXT(mergedcleandataset[[#This Row],[dteday]],"yyyy")</f>
        <v>2011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s="2">
        <f>DATE(mergedcleandataset[[#This Row],[yr]],mergedcleandataset[[#This Row],[mnth]],mergedcleandataset[[#This Row],[day]])</f>
        <v>40562</v>
      </c>
      <c r="R422">
        <f>DAY(mergedcleandataset[[#This Row],[dteday]])</f>
        <v>19</v>
      </c>
      <c r="S422" t="str">
        <f>IF(mergedcleandataset[[#This Row],[weekday]]&gt;=5,"Yes","No")</f>
        <v>No</v>
      </c>
      <c r="T422" t="b">
        <f>ISBLANK(mergedcleandataset[[#This Row],[atemp]])</f>
        <v>0</v>
      </c>
      <c r="U422" t="str">
        <f t="shared" si="6"/>
        <v>Spring</v>
      </c>
      <c r="V422" t="str">
        <f>TEXT(mergedcleandataset[[#This Row],[date]],"dddd")</f>
        <v>Wednesday</v>
      </c>
      <c r="W42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3" spans="1:23" x14ac:dyDescent="0.25">
      <c r="A423">
        <v>422</v>
      </c>
      <c r="B423" s="1">
        <v>40562</v>
      </c>
      <c r="C423">
        <v>1</v>
      </c>
      <c r="D423" t="str">
        <f>TEXT(mergedcleandataset[[#This Row],[dteday]],"yyyy")</f>
        <v>2011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s="2">
        <f>DATE(mergedcleandataset[[#This Row],[yr]],mergedcleandataset[[#This Row],[mnth]],mergedcleandataset[[#This Row],[day]])</f>
        <v>40562</v>
      </c>
      <c r="R423">
        <f>DAY(mergedcleandataset[[#This Row],[dteday]])</f>
        <v>19</v>
      </c>
      <c r="S423" t="str">
        <f>IF(mergedcleandataset[[#This Row],[weekday]]&gt;=5,"Yes","No")</f>
        <v>No</v>
      </c>
      <c r="T423" t="b">
        <f>ISBLANK(mergedcleandataset[[#This Row],[atemp]])</f>
        <v>0</v>
      </c>
      <c r="U423" t="str">
        <f t="shared" si="6"/>
        <v>Spring</v>
      </c>
      <c r="V423" t="str">
        <f>TEXT(mergedcleandataset[[#This Row],[date]],"dddd")</f>
        <v>Wednesday</v>
      </c>
      <c r="W42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4" spans="1:23" x14ac:dyDescent="0.25">
      <c r="A424">
        <v>423</v>
      </c>
      <c r="B424" s="1">
        <v>40562</v>
      </c>
      <c r="C424">
        <v>1</v>
      </c>
      <c r="D424" t="str">
        <f>TEXT(mergedcleandataset[[#This Row],[dteday]],"yyyy")</f>
        <v>2011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s="2">
        <f>DATE(mergedcleandataset[[#This Row],[yr]],mergedcleandataset[[#This Row],[mnth]],mergedcleandataset[[#This Row],[day]])</f>
        <v>40562</v>
      </c>
      <c r="R424">
        <f>DAY(mergedcleandataset[[#This Row],[dteday]])</f>
        <v>19</v>
      </c>
      <c r="S424" t="str">
        <f>IF(mergedcleandataset[[#This Row],[weekday]]&gt;=5,"Yes","No")</f>
        <v>No</v>
      </c>
      <c r="T424" t="b">
        <f>ISBLANK(mergedcleandataset[[#This Row],[atemp]])</f>
        <v>0</v>
      </c>
      <c r="U424" t="str">
        <f t="shared" si="6"/>
        <v>Spring</v>
      </c>
      <c r="V424" t="str">
        <f>TEXT(mergedcleandataset[[#This Row],[date]],"dddd")</f>
        <v>Wednesday</v>
      </c>
      <c r="W42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5" spans="1:23" x14ac:dyDescent="0.25">
      <c r="A425">
        <v>424</v>
      </c>
      <c r="B425" s="1">
        <v>40562</v>
      </c>
      <c r="C425">
        <v>1</v>
      </c>
      <c r="D425" t="str">
        <f>TEXT(mergedcleandataset[[#This Row],[dteday]],"yyyy")</f>
        <v>2011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s="2">
        <f>DATE(mergedcleandataset[[#This Row],[yr]],mergedcleandataset[[#This Row],[mnth]],mergedcleandataset[[#This Row],[day]])</f>
        <v>40562</v>
      </c>
      <c r="R425">
        <f>DAY(mergedcleandataset[[#This Row],[dteday]])</f>
        <v>19</v>
      </c>
      <c r="S425" t="str">
        <f>IF(mergedcleandataset[[#This Row],[weekday]]&gt;=5,"Yes","No")</f>
        <v>No</v>
      </c>
      <c r="T425" t="b">
        <f>ISBLANK(mergedcleandataset[[#This Row],[atemp]])</f>
        <v>0</v>
      </c>
      <c r="U425" t="str">
        <f t="shared" si="6"/>
        <v>Spring</v>
      </c>
      <c r="V425" t="str">
        <f>TEXT(mergedcleandataset[[#This Row],[date]],"dddd")</f>
        <v>Wednesday</v>
      </c>
      <c r="W42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6" spans="1:23" x14ac:dyDescent="0.25">
      <c r="A426">
        <v>425</v>
      </c>
      <c r="B426" s="1">
        <v>40562</v>
      </c>
      <c r="C426">
        <v>1</v>
      </c>
      <c r="D426" t="str">
        <f>TEXT(mergedcleandataset[[#This Row],[dteday]],"yyyy")</f>
        <v>2011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s="2">
        <f>DATE(mergedcleandataset[[#This Row],[yr]],mergedcleandataset[[#This Row],[mnth]],mergedcleandataset[[#This Row],[day]])</f>
        <v>40562</v>
      </c>
      <c r="R426">
        <f>DAY(mergedcleandataset[[#This Row],[dteday]])</f>
        <v>19</v>
      </c>
      <c r="S426" t="str">
        <f>IF(mergedcleandataset[[#This Row],[weekday]]&gt;=5,"Yes","No")</f>
        <v>No</v>
      </c>
      <c r="T426" t="b">
        <f>ISBLANK(mergedcleandataset[[#This Row],[atemp]])</f>
        <v>0</v>
      </c>
      <c r="U426" t="str">
        <f t="shared" si="6"/>
        <v>Spring</v>
      </c>
      <c r="V426" t="str">
        <f>TEXT(mergedcleandataset[[#This Row],[date]],"dddd")</f>
        <v>Wednesday</v>
      </c>
      <c r="W4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7" spans="1:23" x14ac:dyDescent="0.25">
      <c r="A427">
        <v>426</v>
      </c>
      <c r="B427" s="1">
        <v>40562</v>
      </c>
      <c r="C427">
        <v>1</v>
      </c>
      <c r="D427" t="str">
        <f>TEXT(mergedcleandataset[[#This Row],[dteday]],"yyyy")</f>
        <v>2011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s="2">
        <f>DATE(mergedcleandataset[[#This Row],[yr]],mergedcleandataset[[#This Row],[mnth]],mergedcleandataset[[#This Row],[day]])</f>
        <v>40562</v>
      </c>
      <c r="R427">
        <f>DAY(mergedcleandataset[[#This Row],[dteday]])</f>
        <v>19</v>
      </c>
      <c r="S427" t="str">
        <f>IF(mergedcleandataset[[#This Row],[weekday]]&gt;=5,"Yes","No")</f>
        <v>No</v>
      </c>
      <c r="T427" t="b">
        <f>ISBLANK(mergedcleandataset[[#This Row],[atemp]])</f>
        <v>0</v>
      </c>
      <c r="U427" t="str">
        <f t="shared" si="6"/>
        <v>Spring</v>
      </c>
      <c r="V427" t="str">
        <f>TEXT(mergedcleandataset[[#This Row],[date]],"dddd")</f>
        <v>Wednesday</v>
      </c>
      <c r="W4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8" spans="1:23" x14ac:dyDescent="0.25">
      <c r="A428">
        <v>427</v>
      </c>
      <c r="B428" s="1">
        <v>40562</v>
      </c>
      <c r="C428">
        <v>1</v>
      </c>
      <c r="D428" t="str">
        <f>TEXT(mergedcleandataset[[#This Row],[dteday]],"yyyy")</f>
        <v>2011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s="2">
        <f>DATE(mergedcleandataset[[#This Row],[yr]],mergedcleandataset[[#This Row],[mnth]],mergedcleandataset[[#This Row],[day]])</f>
        <v>40562</v>
      </c>
      <c r="R428">
        <f>DAY(mergedcleandataset[[#This Row],[dteday]])</f>
        <v>19</v>
      </c>
      <c r="S428" t="str">
        <f>IF(mergedcleandataset[[#This Row],[weekday]]&gt;=5,"Yes","No")</f>
        <v>No</v>
      </c>
      <c r="T428" t="b">
        <f>ISBLANK(mergedcleandataset[[#This Row],[atemp]])</f>
        <v>0</v>
      </c>
      <c r="U428" t="str">
        <f t="shared" si="6"/>
        <v>Spring</v>
      </c>
      <c r="V428" t="str">
        <f>TEXT(mergedcleandataset[[#This Row],[date]],"dddd")</f>
        <v>Wednesday</v>
      </c>
      <c r="W4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29" spans="1:23" x14ac:dyDescent="0.25">
      <c r="A429">
        <v>428</v>
      </c>
      <c r="B429" s="1">
        <v>40562</v>
      </c>
      <c r="C429">
        <v>1</v>
      </c>
      <c r="D429" t="str">
        <f>TEXT(mergedcleandataset[[#This Row],[dteday]],"yyyy")</f>
        <v>2011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s="2">
        <f>DATE(mergedcleandataset[[#This Row],[yr]],mergedcleandataset[[#This Row],[mnth]],mergedcleandataset[[#This Row],[day]])</f>
        <v>40562</v>
      </c>
      <c r="R429">
        <f>DAY(mergedcleandataset[[#This Row],[dteday]])</f>
        <v>19</v>
      </c>
      <c r="S429" t="str">
        <f>IF(mergedcleandataset[[#This Row],[weekday]]&gt;=5,"Yes","No")</f>
        <v>No</v>
      </c>
      <c r="T429" t="b">
        <f>ISBLANK(mergedcleandataset[[#This Row],[atemp]])</f>
        <v>0</v>
      </c>
      <c r="U429" t="str">
        <f t="shared" si="6"/>
        <v>Spring</v>
      </c>
      <c r="V429" t="str">
        <f>TEXT(mergedcleandataset[[#This Row],[date]],"dddd")</f>
        <v>Wednesday</v>
      </c>
      <c r="W4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0" spans="1:23" x14ac:dyDescent="0.25">
      <c r="A430">
        <v>429</v>
      </c>
      <c r="B430" s="1">
        <v>40562</v>
      </c>
      <c r="C430">
        <v>1</v>
      </c>
      <c r="D430" t="str">
        <f>TEXT(mergedcleandataset[[#This Row],[dteday]],"yyyy")</f>
        <v>2011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s="2">
        <f>DATE(mergedcleandataset[[#This Row],[yr]],mergedcleandataset[[#This Row],[mnth]],mergedcleandataset[[#This Row],[day]])</f>
        <v>40562</v>
      </c>
      <c r="R430">
        <f>DAY(mergedcleandataset[[#This Row],[dteday]])</f>
        <v>19</v>
      </c>
      <c r="S430" t="str">
        <f>IF(mergedcleandataset[[#This Row],[weekday]]&gt;=5,"Yes","No")</f>
        <v>No</v>
      </c>
      <c r="T430" t="b">
        <f>ISBLANK(mergedcleandataset[[#This Row],[atemp]])</f>
        <v>0</v>
      </c>
      <c r="U430" t="str">
        <f t="shared" si="6"/>
        <v>Spring</v>
      </c>
      <c r="V430" t="str">
        <f>TEXT(mergedcleandataset[[#This Row],[date]],"dddd")</f>
        <v>Wednesday</v>
      </c>
      <c r="W4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1" spans="1:23" x14ac:dyDescent="0.25">
      <c r="A431">
        <v>430</v>
      </c>
      <c r="B431" s="1">
        <v>40562</v>
      </c>
      <c r="C431">
        <v>1</v>
      </c>
      <c r="D431" t="str">
        <f>TEXT(mergedcleandataset[[#This Row],[dteday]],"yyyy")</f>
        <v>2011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s="2">
        <f>DATE(mergedcleandataset[[#This Row],[yr]],mergedcleandataset[[#This Row],[mnth]],mergedcleandataset[[#This Row],[day]])</f>
        <v>40562</v>
      </c>
      <c r="R431">
        <f>DAY(mergedcleandataset[[#This Row],[dteday]])</f>
        <v>19</v>
      </c>
      <c r="S431" t="str">
        <f>IF(mergedcleandataset[[#This Row],[weekday]]&gt;=5,"Yes","No")</f>
        <v>No</v>
      </c>
      <c r="T431" t="b">
        <f>ISBLANK(mergedcleandataset[[#This Row],[atemp]])</f>
        <v>0</v>
      </c>
      <c r="U431" t="str">
        <f t="shared" si="6"/>
        <v>Spring</v>
      </c>
      <c r="V431" t="str">
        <f>TEXT(mergedcleandataset[[#This Row],[date]],"dddd")</f>
        <v>Wednesday</v>
      </c>
      <c r="W4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2" spans="1:23" x14ac:dyDescent="0.25">
      <c r="A432">
        <v>431</v>
      </c>
      <c r="B432" s="1">
        <v>40562</v>
      </c>
      <c r="C432">
        <v>1</v>
      </c>
      <c r="D432" t="str">
        <f>TEXT(mergedcleandataset[[#This Row],[dteday]],"yyyy")</f>
        <v>2011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s="2">
        <f>DATE(mergedcleandataset[[#This Row],[yr]],mergedcleandataset[[#This Row],[mnth]],mergedcleandataset[[#This Row],[day]])</f>
        <v>40562</v>
      </c>
      <c r="R432">
        <f>DAY(mergedcleandataset[[#This Row],[dteday]])</f>
        <v>19</v>
      </c>
      <c r="S432" t="str">
        <f>IF(mergedcleandataset[[#This Row],[weekday]]&gt;=5,"Yes","No")</f>
        <v>No</v>
      </c>
      <c r="T432" t="b">
        <f>ISBLANK(mergedcleandataset[[#This Row],[atemp]])</f>
        <v>0</v>
      </c>
      <c r="U432" t="str">
        <f t="shared" si="6"/>
        <v>Spring</v>
      </c>
      <c r="V432" t="str">
        <f>TEXT(mergedcleandataset[[#This Row],[date]],"dddd")</f>
        <v>Wednesday</v>
      </c>
      <c r="W4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3" spans="1:23" x14ac:dyDescent="0.25">
      <c r="A433">
        <v>432</v>
      </c>
      <c r="B433" s="1">
        <v>40563</v>
      </c>
      <c r="C433">
        <v>1</v>
      </c>
      <c r="D433" t="str">
        <f>TEXT(mergedcleandataset[[#This Row],[dteday]],"yyyy")</f>
        <v>2011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s="2">
        <f>DATE(mergedcleandataset[[#This Row],[yr]],mergedcleandataset[[#This Row],[mnth]],mergedcleandataset[[#This Row],[day]])</f>
        <v>40563</v>
      </c>
      <c r="R433">
        <f>DAY(mergedcleandataset[[#This Row],[dteday]])</f>
        <v>20</v>
      </c>
      <c r="S433" t="str">
        <f>IF(mergedcleandataset[[#This Row],[weekday]]&gt;=5,"Yes","No")</f>
        <v>No</v>
      </c>
      <c r="T433" t="b">
        <f>ISBLANK(mergedcleandataset[[#This Row],[atemp]])</f>
        <v>0</v>
      </c>
      <c r="U433" t="str">
        <f t="shared" si="6"/>
        <v>Spring</v>
      </c>
      <c r="V433" t="str">
        <f>TEXT(mergedcleandataset[[#This Row],[date]],"dddd")</f>
        <v>Thursday</v>
      </c>
      <c r="W4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4" spans="1:23" x14ac:dyDescent="0.25">
      <c r="A434">
        <v>433</v>
      </c>
      <c r="B434" s="1">
        <v>40563</v>
      </c>
      <c r="C434">
        <v>1</v>
      </c>
      <c r="D434" t="str">
        <f>TEXT(mergedcleandataset[[#This Row],[dteday]],"yyyy")</f>
        <v>2011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s="2">
        <f>DATE(mergedcleandataset[[#This Row],[yr]],mergedcleandataset[[#This Row],[mnth]],mergedcleandataset[[#This Row],[day]])</f>
        <v>40563</v>
      </c>
      <c r="R434">
        <f>DAY(mergedcleandataset[[#This Row],[dteday]])</f>
        <v>20</v>
      </c>
      <c r="S434" t="str">
        <f>IF(mergedcleandataset[[#This Row],[weekday]]&gt;=5,"Yes","No")</f>
        <v>No</v>
      </c>
      <c r="T434" t="b">
        <f>ISBLANK(mergedcleandataset[[#This Row],[atemp]])</f>
        <v>0</v>
      </c>
      <c r="U434" t="str">
        <f t="shared" si="6"/>
        <v>Spring</v>
      </c>
      <c r="V434" t="str">
        <f>TEXT(mergedcleandataset[[#This Row],[date]],"dddd")</f>
        <v>Thursday</v>
      </c>
      <c r="W4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5" spans="1:23" x14ac:dyDescent="0.25">
      <c r="A435">
        <v>434</v>
      </c>
      <c r="B435" s="1">
        <v>40563</v>
      </c>
      <c r="C435">
        <v>1</v>
      </c>
      <c r="D435" t="str">
        <f>TEXT(mergedcleandataset[[#This Row],[dteday]],"yyyy")</f>
        <v>2011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s="2">
        <f>DATE(mergedcleandataset[[#This Row],[yr]],mergedcleandataset[[#This Row],[mnth]],mergedcleandataset[[#This Row],[day]])</f>
        <v>40563</v>
      </c>
      <c r="R435">
        <f>DAY(mergedcleandataset[[#This Row],[dteday]])</f>
        <v>20</v>
      </c>
      <c r="S435" t="str">
        <f>IF(mergedcleandataset[[#This Row],[weekday]]&gt;=5,"Yes","No")</f>
        <v>No</v>
      </c>
      <c r="T435" t="b">
        <f>ISBLANK(mergedcleandataset[[#This Row],[atemp]])</f>
        <v>0</v>
      </c>
      <c r="U435" t="str">
        <f t="shared" si="6"/>
        <v>Spring</v>
      </c>
      <c r="V435" t="str">
        <f>TEXT(mergedcleandataset[[#This Row],[date]],"dddd")</f>
        <v>Thursday</v>
      </c>
      <c r="W4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6" spans="1:23" x14ac:dyDescent="0.25">
      <c r="A436">
        <v>435</v>
      </c>
      <c r="B436" s="1">
        <v>40563</v>
      </c>
      <c r="C436">
        <v>1</v>
      </c>
      <c r="D436" t="str">
        <f>TEXT(mergedcleandataset[[#This Row],[dteday]],"yyyy")</f>
        <v>2011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s="2">
        <f>DATE(mergedcleandataset[[#This Row],[yr]],mergedcleandataset[[#This Row],[mnth]],mergedcleandataset[[#This Row],[day]])</f>
        <v>40563</v>
      </c>
      <c r="R436">
        <f>DAY(mergedcleandataset[[#This Row],[dteday]])</f>
        <v>20</v>
      </c>
      <c r="S436" t="str">
        <f>IF(mergedcleandataset[[#This Row],[weekday]]&gt;=5,"Yes","No")</f>
        <v>No</v>
      </c>
      <c r="T436" t="b">
        <f>ISBLANK(mergedcleandataset[[#This Row],[atemp]])</f>
        <v>0</v>
      </c>
      <c r="U436" t="str">
        <f t="shared" si="6"/>
        <v>Spring</v>
      </c>
      <c r="V436" t="str">
        <f>TEXT(mergedcleandataset[[#This Row],[date]],"dddd")</f>
        <v>Thursday</v>
      </c>
      <c r="W4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7" spans="1:23" x14ac:dyDescent="0.25">
      <c r="A437">
        <v>436</v>
      </c>
      <c r="B437" s="1">
        <v>40563</v>
      </c>
      <c r="C437">
        <v>1</v>
      </c>
      <c r="D437" t="str">
        <f>TEXT(mergedcleandataset[[#This Row],[dteday]],"yyyy")</f>
        <v>2011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s="2">
        <f>DATE(mergedcleandataset[[#This Row],[yr]],mergedcleandataset[[#This Row],[mnth]],mergedcleandataset[[#This Row],[day]])</f>
        <v>40563</v>
      </c>
      <c r="R437">
        <f>DAY(mergedcleandataset[[#This Row],[dteday]])</f>
        <v>20</v>
      </c>
      <c r="S437" t="str">
        <f>IF(mergedcleandataset[[#This Row],[weekday]]&gt;=5,"Yes","No")</f>
        <v>No</v>
      </c>
      <c r="T437" t="b">
        <f>ISBLANK(mergedcleandataset[[#This Row],[atemp]])</f>
        <v>0</v>
      </c>
      <c r="U437" t="str">
        <f t="shared" si="6"/>
        <v>Spring</v>
      </c>
      <c r="V437" t="str">
        <f>TEXT(mergedcleandataset[[#This Row],[date]],"dddd")</f>
        <v>Thursday</v>
      </c>
      <c r="W43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8" spans="1:23" x14ac:dyDescent="0.25">
      <c r="A438">
        <v>437</v>
      </c>
      <c r="B438" s="1">
        <v>40563</v>
      </c>
      <c r="C438">
        <v>1</v>
      </c>
      <c r="D438" t="str">
        <f>TEXT(mergedcleandataset[[#This Row],[dteday]],"yyyy")</f>
        <v>2011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s="2">
        <f>DATE(mergedcleandataset[[#This Row],[yr]],mergedcleandataset[[#This Row],[mnth]],mergedcleandataset[[#This Row],[day]])</f>
        <v>40563</v>
      </c>
      <c r="R438">
        <f>DAY(mergedcleandataset[[#This Row],[dteday]])</f>
        <v>20</v>
      </c>
      <c r="S438" t="str">
        <f>IF(mergedcleandataset[[#This Row],[weekday]]&gt;=5,"Yes","No")</f>
        <v>No</v>
      </c>
      <c r="T438" t="b">
        <f>ISBLANK(mergedcleandataset[[#This Row],[atemp]])</f>
        <v>0</v>
      </c>
      <c r="U438" t="str">
        <f t="shared" si="6"/>
        <v>Spring</v>
      </c>
      <c r="V438" t="str">
        <f>TEXT(mergedcleandataset[[#This Row],[date]],"dddd")</f>
        <v>Thursday</v>
      </c>
      <c r="W43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39" spans="1:23" x14ac:dyDescent="0.25">
      <c r="A439">
        <v>438</v>
      </c>
      <c r="B439" s="1">
        <v>40563</v>
      </c>
      <c r="C439">
        <v>1</v>
      </c>
      <c r="D439" t="str">
        <f>TEXT(mergedcleandataset[[#This Row],[dteday]],"yyyy")</f>
        <v>2011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s="2">
        <f>DATE(mergedcleandataset[[#This Row],[yr]],mergedcleandataset[[#This Row],[mnth]],mergedcleandataset[[#This Row],[day]])</f>
        <v>40563</v>
      </c>
      <c r="R439">
        <f>DAY(mergedcleandataset[[#This Row],[dteday]])</f>
        <v>20</v>
      </c>
      <c r="S439" t="str">
        <f>IF(mergedcleandataset[[#This Row],[weekday]]&gt;=5,"Yes","No")</f>
        <v>No</v>
      </c>
      <c r="T439" t="b">
        <f>ISBLANK(mergedcleandataset[[#This Row],[atemp]])</f>
        <v>0</v>
      </c>
      <c r="U439" t="str">
        <f t="shared" si="6"/>
        <v>Spring</v>
      </c>
      <c r="V439" t="str">
        <f>TEXT(mergedcleandataset[[#This Row],[date]],"dddd")</f>
        <v>Thursday</v>
      </c>
      <c r="W43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40" spans="1:23" x14ac:dyDescent="0.25">
      <c r="A440">
        <v>439</v>
      </c>
      <c r="B440" s="1">
        <v>40563</v>
      </c>
      <c r="C440">
        <v>1</v>
      </c>
      <c r="D440" t="str">
        <f>TEXT(mergedcleandataset[[#This Row],[dteday]],"yyyy")</f>
        <v>2011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s="2">
        <f>DATE(mergedcleandataset[[#This Row],[yr]],mergedcleandataset[[#This Row],[mnth]],mergedcleandataset[[#This Row],[day]])</f>
        <v>40563</v>
      </c>
      <c r="R440">
        <f>DAY(mergedcleandataset[[#This Row],[dteday]])</f>
        <v>20</v>
      </c>
      <c r="S440" t="str">
        <f>IF(mergedcleandataset[[#This Row],[weekday]]&gt;=5,"Yes","No")</f>
        <v>No</v>
      </c>
      <c r="T440" t="b">
        <f>ISBLANK(mergedcleandataset[[#This Row],[atemp]])</f>
        <v>0</v>
      </c>
      <c r="U440" t="str">
        <f t="shared" si="6"/>
        <v>Spring</v>
      </c>
      <c r="V440" t="str">
        <f>TEXT(mergedcleandataset[[#This Row],[date]],"dddd")</f>
        <v>Thursday</v>
      </c>
      <c r="W44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41" spans="1:23" x14ac:dyDescent="0.25">
      <c r="A441">
        <v>440</v>
      </c>
      <c r="B441" s="1">
        <v>40563</v>
      </c>
      <c r="C441">
        <v>1</v>
      </c>
      <c r="D441" t="str">
        <f>TEXT(mergedcleandataset[[#This Row],[dteday]],"yyyy")</f>
        <v>2011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s="2">
        <f>DATE(mergedcleandataset[[#This Row],[yr]],mergedcleandataset[[#This Row],[mnth]],mergedcleandataset[[#This Row],[day]])</f>
        <v>40563</v>
      </c>
      <c r="R441">
        <f>DAY(mergedcleandataset[[#This Row],[dteday]])</f>
        <v>20</v>
      </c>
      <c r="S441" t="str">
        <f>IF(mergedcleandataset[[#This Row],[weekday]]&gt;=5,"Yes","No")</f>
        <v>No</v>
      </c>
      <c r="T441" t="b">
        <f>ISBLANK(mergedcleandataset[[#This Row],[atemp]])</f>
        <v>0</v>
      </c>
      <c r="U441" t="str">
        <f t="shared" si="6"/>
        <v>Spring</v>
      </c>
      <c r="V441" t="str">
        <f>TEXT(mergedcleandataset[[#This Row],[date]],"dddd")</f>
        <v>Thursday</v>
      </c>
      <c r="W44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42" spans="1:23" x14ac:dyDescent="0.25">
      <c r="A442">
        <v>441</v>
      </c>
      <c r="B442" s="1">
        <v>40563</v>
      </c>
      <c r="C442">
        <v>1</v>
      </c>
      <c r="D442" t="str">
        <f>TEXT(mergedcleandataset[[#This Row],[dteday]],"yyyy")</f>
        <v>2011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s="2">
        <f>DATE(mergedcleandataset[[#This Row],[yr]],mergedcleandataset[[#This Row],[mnth]],mergedcleandataset[[#This Row],[day]])</f>
        <v>40563</v>
      </c>
      <c r="R442">
        <f>DAY(mergedcleandataset[[#This Row],[dteday]])</f>
        <v>20</v>
      </c>
      <c r="S442" t="str">
        <f>IF(mergedcleandataset[[#This Row],[weekday]]&gt;=5,"Yes","No")</f>
        <v>No</v>
      </c>
      <c r="T442" t="b">
        <f>ISBLANK(mergedcleandataset[[#This Row],[atemp]])</f>
        <v>0</v>
      </c>
      <c r="U442" t="str">
        <f t="shared" si="6"/>
        <v>Spring</v>
      </c>
      <c r="V442" t="str">
        <f>TEXT(mergedcleandataset[[#This Row],[date]],"dddd")</f>
        <v>Thursday</v>
      </c>
      <c r="W44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3" spans="1:23" x14ac:dyDescent="0.25">
      <c r="A443">
        <v>442</v>
      </c>
      <c r="B443" s="1">
        <v>40563</v>
      </c>
      <c r="C443">
        <v>1</v>
      </c>
      <c r="D443" t="str">
        <f>TEXT(mergedcleandataset[[#This Row],[dteday]],"yyyy")</f>
        <v>2011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s="2">
        <f>DATE(mergedcleandataset[[#This Row],[yr]],mergedcleandataset[[#This Row],[mnth]],mergedcleandataset[[#This Row],[day]])</f>
        <v>40563</v>
      </c>
      <c r="R443">
        <f>DAY(mergedcleandataset[[#This Row],[dteday]])</f>
        <v>20</v>
      </c>
      <c r="S443" t="str">
        <f>IF(mergedcleandataset[[#This Row],[weekday]]&gt;=5,"Yes","No")</f>
        <v>No</v>
      </c>
      <c r="T443" t="b">
        <f>ISBLANK(mergedcleandataset[[#This Row],[atemp]])</f>
        <v>0</v>
      </c>
      <c r="U443" t="str">
        <f t="shared" si="6"/>
        <v>Spring</v>
      </c>
      <c r="V443" t="str">
        <f>TEXT(mergedcleandataset[[#This Row],[date]],"dddd")</f>
        <v>Thursday</v>
      </c>
      <c r="W44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44" spans="1:23" x14ac:dyDescent="0.25">
      <c r="A444">
        <v>443</v>
      </c>
      <c r="B444" s="1">
        <v>40563</v>
      </c>
      <c r="C444">
        <v>1</v>
      </c>
      <c r="D444" t="str">
        <f>TEXT(mergedcleandataset[[#This Row],[dteday]],"yyyy")</f>
        <v>2011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s="2">
        <f>DATE(mergedcleandataset[[#This Row],[yr]],mergedcleandataset[[#This Row],[mnth]],mergedcleandataset[[#This Row],[day]])</f>
        <v>40563</v>
      </c>
      <c r="R444">
        <f>DAY(mergedcleandataset[[#This Row],[dteday]])</f>
        <v>20</v>
      </c>
      <c r="S444" t="str">
        <f>IF(mergedcleandataset[[#This Row],[weekday]]&gt;=5,"Yes","No")</f>
        <v>No</v>
      </c>
      <c r="T444" t="b">
        <f>ISBLANK(mergedcleandataset[[#This Row],[atemp]])</f>
        <v>0</v>
      </c>
      <c r="U444" t="str">
        <f t="shared" si="6"/>
        <v>Spring</v>
      </c>
      <c r="V444" t="str">
        <f>TEXT(mergedcleandataset[[#This Row],[date]],"dddd")</f>
        <v>Thursday</v>
      </c>
      <c r="W44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5" spans="1:23" x14ac:dyDescent="0.25">
      <c r="A445">
        <v>444</v>
      </c>
      <c r="B445" s="1">
        <v>40563</v>
      </c>
      <c r="C445">
        <v>1</v>
      </c>
      <c r="D445" t="str">
        <f>TEXT(mergedcleandataset[[#This Row],[dteday]],"yyyy")</f>
        <v>2011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s="2">
        <f>DATE(mergedcleandataset[[#This Row],[yr]],mergedcleandataset[[#This Row],[mnth]],mergedcleandataset[[#This Row],[day]])</f>
        <v>40563</v>
      </c>
      <c r="R445">
        <f>DAY(mergedcleandataset[[#This Row],[dteday]])</f>
        <v>20</v>
      </c>
      <c r="S445" t="str">
        <f>IF(mergedcleandataset[[#This Row],[weekday]]&gt;=5,"Yes","No")</f>
        <v>No</v>
      </c>
      <c r="T445" t="b">
        <f>ISBLANK(mergedcleandataset[[#This Row],[atemp]])</f>
        <v>0</v>
      </c>
      <c r="U445" t="str">
        <f t="shared" si="6"/>
        <v>Spring</v>
      </c>
      <c r="V445" t="str">
        <f>TEXT(mergedcleandataset[[#This Row],[date]],"dddd")</f>
        <v>Thursday</v>
      </c>
      <c r="W44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6" spans="1:23" x14ac:dyDescent="0.25">
      <c r="A446">
        <v>445</v>
      </c>
      <c r="B446" s="1">
        <v>40563</v>
      </c>
      <c r="C446">
        <v>1</v>
      </c>
      <c r="D446" t="str">
        <f>TEXT(mergedcleandataset[[#This Row],[dteday]],"yyyy")</f>
        <v>2011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s="2">
        <f>DATE(mergedcleandataset[[#This Row],[yr]],mergedcleandataset[[#This Row],[mnth]],mergedcleandataset[[#This Row],[day]])</f>
        <v>40563</v>
      </c>
      <c r="R446">
        <f>DAY(mergedcleandataset[[#This Row],[dteday]])</f>
        <v>20</v>
      </c>
      <c r="S446" t="str">
        <f>IF(mergedcleandataset[[#This Row],[weekday]]&gt;=5,"Yes","No")</f>
        <v>No</v>
      </c>
      <c r="T446" t="b">
        <f>ISBLANK(mergedcleandataset[[#This Row],[atemp]])</f>
        <v>0</v>
      </c>
      <c r="U446" t="str">
        <f t="shared" si="6"/>
        <v>Spring</v>
      </c>
      <c r="V446" t="str">
        <f>TEXT(mergedcleandataset[[#This Row],[date]],"dddd")</f>
        <v>Thursday</v>
      </c>
      <c r="W44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7" spans="1:23" x14ac:dyDescent="0.25">
      <c r="A447">
        <v>446</v>
      </c>
      <c r="B447" s="1">
        <v>40563</v>
      </c>
      <c r="C447">
        <v>1</v>
      </c>
      <c r="D447" t="str">
        <f>TEXT(mergedcleandataset[[#This Row],[dteday]],"yyyy")</f>
        <v>2011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s="2">
        <f>DATE(mergedcleandataset[[#This Row],[yr]],mergedcleandataset[[#This Row],[mnth]],mergedcleandataset[[#This Row],[day]])</f>
        <v>40563</v>
      </c>
      <c r="R447">
        <f>DAY(mergedcleandataset[[#This Row],[dteday]])</f>
        <v>20</v>
      </c>
      <c r="S447" t="str">
        <f>IF(mergedcleandataset[[#This Row],[weekday]]&gt;=5,"Yes","No")</f>
        <v>No</v>
      </c>
      <c r="T447" t="b">
        <f>ISBLANK(mergedcleandataset[[#This Row],[atemp]])</f>
        <v>0</v>
      </c>
      <c r="U447" t="str">
        <f t="shared" si="6"/>
        <v>Spring</v>
      </c>
      <c r="V447" t="str">
        <f>TEXT(mergedcleandataset[[#This Row],[date]],"dddd")</f>
        <v>Thursday</v>
      </c>
      <c r="W44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8" spans="1:23" x14ac:dyDescent="0.25">
      <c r="A448">
        <v>447</v>
      </c>
      <c r="B448" s="1">
        <v>40563</v>
      </c>
      <c r="C448">
        <v>1</v>
      </c>
      <c r="D448" t="str">
        <f>TEXT(mergedcleandataset[[#This Row],[dteday]],"yyyy")</f>
        <v>2011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s="2">
        <f>DATE(mergedcleandataset[[#This Row],[yr]],mergedcleandataset[[#This Row],[mnth]],mergedcleandataset[[#This Row],[day]])</f>
        <v>40563</v>
      </c>
      <c r="R448">
        <f>DAY(mergedcleandataset[[#This Row],[dteday]])</f>
        <v>20</v>
      </c>
      <c r="S448" t="str">
        <f>IF(mergedcleandataset[[#This Row],[weekday]]&gt;=5,"Yes","No")</f>
        <v>No</v>
      </c>
      <c r="T448" t="b">
        <f>ISBLANK(mergedcleandataset[[#This Row],[atemp]])</f>
        <v>0</v>
      </c>
      <c r="U448" t="str">
        <f t="shared" si="6"/>
        <v>Spring</v>
      </c>
      <c r="V448" t="str">
        <f>TEXT(mergedcleandataset[[#This Row],[date]],"dddd")</f>
        <v>Thursday</v>
      </c>
      <c r="W44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49" spans="1:23" x14ac:dyDescent="0.25">
      <c r="A449">
        <v>448</v>
      </c>
      <c r="B449" s="1">
        <v>40563</v>
      </c>
      <c r="C449">
        <v>1</v>
      </c>
      <c r="D449" t="str">
        <f>TEXT(mergedcleandataset[[#This Row],[dteday]],"yyyy")</f>
        <v>2011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s="2">
        <f>DATE(mergedcleandataset[[#This Row],[yr]],mergedcleandataset[[#This Row],[mnth]],mergedcleandataset[[#This Row],[day]])</f>
        <v>40563</v>
      </c>
      <c r="R449">
        <f>DAY(mergedcleandataset[[#This Row],[dteday]])</f>
        <v>20</v>
      </c>
      <c r="S449" t="str">
        <f>IF(mergedcleandataset[[#This Row],[weekday]]&gt;=5,"Yes","No")</f>
        <v>No</v>
      </c>
      <c r="T449" t="b">
        <f>ISBLANK(mergedcleandataset[[#This Row],[atemp]])</f>
        <v>0</v>
      </c>
      <c r="U449" t="str">
        <f t="shared" si="6"/>
        <v>Spring</v>
      </c>
      <c r="V449" t="str">
        <f>TEXT(mergedcleandataset[[#This Row],[date]],"dddd")</f>
        <v>Thursday</v>
      </c>
      <c r="W44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0" spans="1:23" x14ac:dyDescent="0.25">
      <c r="A450">
        <v>449</v>
      </c>
      <c r="B450" s="1">
        <v>40563</v>
      </c>
      <c r="C450">
        <v>1</v>
      </c>
      <c r="D450" t="str">
        <f>TEXT(mergedcleandataset[[#This Row],[dteday]],"yyyy")</f>
        <v>2011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s="2">
        <f>DATE(mergedcleandataset[[#This Row],[yr]],mergedcleandataset[[#This Row],[mnth]],mergedcleandataset[[#This Row],[day]])</f>
        <v>40563</v>
      </c>
      <c r="R450">
        <f>DAY(mergedcleandataset[[#This Row],[dteday]])</f>
        <v>20</v>
      </c>
      <c r="S450" t="str">
        <f>IF(mergedcleandataset[[#This Row],[weekday]]&gt;=5,"Yes","No")</f>
        <v>No</v>
      </c>
      <c r="T450" t="b">
        <f>ISBLANK(mergedcleandataset[[#This Row],[atemp]])</f>
        <v>0</v>
      </c>
      <c r="U450" t="str">
        <f t="shared" ref="U450:U513" si="7">IF(C450=1,"Spring",
IF(C450=2,"Summer",
IF(C450=3,"Fall",
IF(C450=4,"Winter","Unknown"))))</f>
        <v>Spring</v>
      </c>
      <c r="V450" t="str">
        <f>TEXT(mergedcleandataset[[#This Row],[date]],"dddd")</f>
        <v>Thursday</v>
      </c>
      <c r="W45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1" spans="1:23" x14ac:dyDescent="0.25">
      <c r="A451">
        <v>450</v>
      </c>
      <c r="B451" s="1">
        <v>40563</v>
      </c>
      <c r="C451">
        <v>1</v>
      </c>
      <c r="D451" t="str">
        <f>TEXT(mergedcleandataset[[#This Row],[dteday]],"yyyy")</f>
        <v>2011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s="2">
        <f>DATE(mergedcleandataset[[#This Row],[yr]],mergedcleandataset[[#This Row],[mnth]],mergedcleandataset[[#This Row],[day]])</f>
        <v>40563</v>
      </c>
      <c r="R451">
        <f>DAY(mergedcleandataset[[#This Row],[dteday]])</f>
        <v>20</v>
      </c>
      <c r="S451" t="str">
        <f>IF(mergedcleandataset[[#This Row],[weekday]]&gt;=5,"Yes","No")</f>
        <v>No</v>
      </c>
      <c r="T451" t="b">
        <f>ISBLANK(mergedcleandataset[[#This Row],[atemp]])</f>
        <v>0</v>
      </c>
      <c r="U451" t="str">
        <f t="shared" si="7"/>
        <v>Spring</v>
      </c>
      <c r="V451" t="str">
        <f>TEXT(mergedcleandataset[[#This Row],[date]],"dddd")</f>
        <v>Thursday</v>
      </c>
      <c r="W45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2" spans="1:23" x14ac:dyDescent="0.25">
      <c r="A452">
        <v>451</v>
      </c>
      <c r="B452" s="1">
        <v>40563</v>
      </c>
      <c r="C452">
        <v>1</v>
      </c>
      <c r="D452" t="str">
        <f>TEXT(mergedcleandataset[[#This Row],[dteday]],"yyyy")</f>
        <v>2011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s="2">
        <f>DATE(mergedcleandataset[[#This Row],[yr]],mergedcleandataset[[#This Row],[mnth]],mergedcleandataset[[#This Row],[day]])</f>
        <v>40563</v>
      </c>
      <c r="R452">
        <f>DAY(mergedcleandataset[[#This Row],[dteday]])</f>
        <v>20</v>
      </c>
      <c r="S452" t="str">
        <f>IF(mergedcleandataset[[#This Row],[weekday]]&gt;=5,"Yes","No")</f>
        <v>No</v>
      </c>
      <c r="T452" t="b">
        <f>ISBLANK(mergedcleandataset[[#This Row],[atemp]])</f>
        <v>0</v>
      </c>
      <c r="U452" t="str">
        <f t="shared" si="7"/>
        <v>Spring</v>
      </c>
      <c r="V452" t="str">
        <f>TEXT(mergedcleandataset[[#This Row],[date]],"dddd")</f>
        <v>Thursday</v>
      </c>
      <c r="W4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53" spans="1:23" x14ac:dyDescent="0.25">
      <c r="A453">
        <v>452</v>
      </c>
      <c r="B453" s="1">
        <v>40563</v>
      </c>
      <c r="C453">
        <v>1</v>
      </c>
      <c r="D453" t="str">
        <f>TEXT(mergedcleandataset[[#This Row],[dteday]],"yyyy")</f>
        <v>2011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s="2">
        <f>DATE(mergedcleandataset[[#This Row],[yr]],mergedcleandataset[[#This Row],[mnth]],mergedcleandataset[[#This Row],[day]])</f>
        <v>40563</v>
      </c>
      <c r="R453">
        <f>DAY(mergedcleandataset[[#This Row],[dteday]])</f>
        <v>20</v>
      </c>
      <c r="S453" t="str">
        <f>IF(mergedcleandataset[[#This Row],[weekday]]&gt;=5,"Yes","No")</f>
        <v>No</v>
      </c>
      <c r="T453" t="b">
        <f>ISBLANK(mergedcleandataset[[#This Row],[atemp]])</f>
        <v>0</v>
      </c>
      <c r="U453" t="str">
        <f t="shared" si="7"/>
        <v>Spring</v>
      </c>
      <c r="V453" t="str">
        <f>TEXT(mergedcleandataset[[#This Row],[date]],"dddd")</f>
        <v>Thursday</v>
      </c>
      <c r="W45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4" spans="1:23" x14ac:dyDescent="0.25">
      <c r="A454">
        <v>453</v>
      </c>
      <c r="B454" s="1">
        <v>40563</v>
      </c>
      <c r="C454">
        <v>1</v>
      </c>
      <c r="D454" t="str">
        <f>TEXT(mergedcleandataset[[#This Row],[dteday]],"yyyy")</f>
        <v>2011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s="2">
        <f>DATE(mergedcleandataset[[#This Row],[yr]],mergedcleandataset[[#This Row],[mnth]],mergedcleandataset[[#This Row],[day]])</f>
        <v>40563</v>
      </c>
      <c r="R454">
        <f>DAY(mergedcleandataset[[#This Row],[dteday]])</f>
        <v>20</v>
      </c>
      <c r="S454" t="str">
        <f>IF(mergedcleandataset[[#This Row],[weekday]]&gt;=5,"Yes","No")</f>
        <v>No</v>
      </c>
      <c r="T454" t="b">
        <f>ISBLANK(mergedcleandataset[[#This Row],[atemp]])</f>
        <v>0</v>
      </c>
      <c r="U454" t="str">
        <f t="shared" si="7"/>
        <v>Spring</v>
      </c>
      <c r="V454" t="str">
        <f>TEXT(mergedcleandataset[[#This Row],[date]],"dddd")</f>
        <v>Thursday</v>
      </c>
      <c r="W45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5" spans="1:23" x14ac:dyDescent="0.25">
      <c r="A455">
        <v>454</v>
      </c>
      <c r="B455" s="1">
        <v>40563</v>
      </c>
      <c r="C455">
        <v>1</v>
      </c>
      <c r="D455" t="str">
        <f>TEXT(mergedcleandataset[[#This Row],[dteday]],"yyyy")</f>
        <v>2011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s="2">
        <f>DATE(mergedcleandataset[[#This Row],[yr]],mergedcleandataset[[#This Row],[mnth]],mergedcleandataset[[#This Row],[day]])</f>
        <v>40563</v>
      </c>
      <c r="R455">
        <f>DAY(mergedcleandataset[[#This Row],[dteday]])</f>
        <v>20</v>
      </c>
      <c r="S455" t="str">
        <f>IF(mergedcleandataset[[#This Row],[weekday]]&gt;=5,"Yes","No")</f>
        <v>No</v>
      </c>
      <c r="T455" t="b">
        <f>ISBLANK(mergedcleandataset[[#This Row],[atemp]])</f>
        <v>0</v>
      </c>
      <c r="U455" t="str">
        <f t="shared" si="7"/>
        <v>Spring</v>
      </c>
      <c r="V455" t="str">
        <f>TEXT(mergedcleandataset[[#This Row],[date]],"dddd")</f>
        <v>Thursday</v>
      </c>
      <c r="W45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6" spans="1:23" x14ac:dyDescent="0.25">
      <c r="A456">
        <v>455</v>
      </c>
      <c r="B456" s="1">
        <v>40563</v>
      </c>
      <c r="C456">
        <v>1</v>
      </c>
      <c r="D456" t="str">
        <f>TEXT(mergedcleandataset[[#This Row],[dteday]],"yyyy")</f>
        <v>2011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s="2">
        <f>DATE(mergedcleandataset[[#This Row],[yr]],mergedcleandataset[[#This Row],[mnth]],mergedcleandataset[[#This Row],[day]])</f>
        <v>40563</v>
      </c>
      <c r="R456">
        <f>DAY(mergedcleandataset[[#This Row],[dteday]])</f>
        <v>20</v>
      </c>
      <c r="S456" t="str">
        <f>IF(mergedcleandataset[[#This Row],[weekday]]&gt;=5,"Yes","No")</f>
        <v>No</v>
      </c>
      <c r="T456" t="b">
        <f>ISBLANK(mergedcleandataset[[#This Row],[atemp]])</f>
        <v>0</v>
      </c>
      <c r="U456" t="str">
        <f t="shared" si="7"/>
        <v>Spring</v>
      </c>
      <c r="V456" t="str">
        <f>TEXT(mergedcleandataset[[#This Row],[date]],"dddd")</f>
        <v>Thursday</v>
      </c>
      <c r="W45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7" spans="1:23" x14ac:dyDescent="0.25">
      <c r="A457">
        <v>456</v>
      </c>
      <c r="B457" s="1">
        <v>40564</v>
      </c>
      <c r="C457">
        <v>1</v>
      </c>
      <c r="D457" t="str">
        <f>TEXT(mergedcleandataset[[#This Row],[dteday]],"yyyy")</f>
        <v>2011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s="2">
        <f>DATE(mergedcleandataset[[#This Row],[yr]],mergedcleandataset[[#This Row],[mnth]],mergedcleandataset[[#This Row],[day]])</f>
        <v>40564</v>
      </c>
      <c r="R457">
        <f>DAY(mergedcleandataset[[#This Row],[dteday]])</f>
        <v>21</v>
      </c>
      <c r="S457" t="str">
        <f>IF(mergedcleandataset[[#This Row],[weekday]]&gt;=5,"Yes","No")</f>
        <v>Yes</v>
      </c>
      <c r="T457" t="b">
        <f>ISBLANK(mergedcleandataset[[#This Row],[atemp]])</f>
        <v>0</v>
      </c>
      <c r="U457" t="str">
        <f t="shared" si="7"/>
        <v>Spring</v>
      </c>
      <c r="V457" t="str">
        <f>TEXT(mergedcleandataset[[#This Row],[date]],"dddd")</f>
        <v>Friday</v>
      </c>
      <c r="W45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8" spans="1:23" x14ac:dyDescent="0.25">
      <c r="A458">
        <v>457</v>
      </c>
      <c r="B458" s="1">
        <v>40564</v>
      </c>
      <c r="C458">
        <v>1</v>
      </c>
      <c r="D458" t="str">
        <f>TEXT(mergedcleandataset[[#This Row],[dteday]],"yyyy")</f>
        <v>2011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s="2">
        <f>DATE(mergedcleandataset[[#This Row],[yr]],mergedcleandataset[[#This Row],[mnth]],mergedcleandataset[[#This Row],[day]])</f>
        <v>40564</v>
      </c>
      <c r="R458">
        <f>DAY(mergedcleandataset[[#This Row],[dteday]])</f>
        <v>21</v>
      </c>
      <c r="S458" t="str">
        <f>IF(mergedcleandataset[[#This Row],[weekday]]&gt;=5,"Yes","No")</f>
        <v>Yes</v>
      </c>
      <c r="T458" t="b">
        <f>ISBLANK(mergedcleandataset[[#This Row],[atemp]])</f>
        <v>0</v>
      </c>
      <c r="U458" t="str">
        <f t="shared" si="7"/>
        <v>Spring</v>
      </c>
      <c r="V458" t="str">
        <f>TEXT(mergedcleandataset[[#This Row],[date]],"dddd")</f>
        <v>Friday</v>
      </c>
      <c r="W45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59" spans="1:23" x14ac:dyDescent="0.25">
      <c r="A459">
        <v>458</v>
      </c>
      <c r="B459" s="1">
        <v>40564</v>
      </c>
      <c r="C459">
        <v>1</v>
      </c>
      <c r="D459" t="str">
        <f>TEXT(mergedcleandataset[[#This Row],[dteday]],"yyyy")</f>
        <v>2011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s="2">
        <f>DATE(mergedcleandataset[[#This Row],[yr]],mergedcleandataset[[#This Row],[mnth]],mergedcleandataset[[#This Row],[day]])</f>
        <v>40564</v>
      </c>
      <c r="R459">
        <f>DAY(mergedcleandataset[[#This Row],[dteday]])</f>
        <v>21</v>
      </c>
      <c r="S459" t="str">
        <f>IF(mergedcleandataset[[#This Row],[weekday]]&gt;=5,"Yes","No")</f>
        <v>Yes</v>
      </c>
      <c r="T459" t="b">
        <f>ISBLANK(mergedcleandataset[[#This Row],[atemp]])</f>
        <v>0</v>
      </c>
      <c r="U459" t="str">
        <f t="shared" si="7"/>
        <v>Spring</v>
      </c>
      <c r="V459" t="str">
        <f>TEXT(mergedcleandataset[[#This Row],[date]],"dddd")</f>
        <v>Friday</v>
      </c>
      <c r="W45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60" spans="1:23" x14ac:dyDescent="0.25">
      <c r="A460">
        <v>459</v>
      </c>
      <c r="B460" s="1">
        <v>40564</v>
      </c>
      <c r="C460">
        <v>1</v>
      </c>
      <c r="D460" t="str">
        <f>TEXT(mergedcleandataset[[#This Row],[dteday]],"yyyy")</f>
        <v>2011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s="2">
        <f>DATE(mergedcleandataset[[#This Row],[yr]],mergedcleandataset[[#This Row],[mnth]],mergedcleandataset[[#This Row],[day]])</f>
        <v>40564</v>
      </c>
      <c r="R460">
        <f>DAY(mergedcleandataset[[#This Row],[dteday]])</f>
        <v>21</v>
      </c>
      <c r="S460" t="str">
        <f>IF(mergedcleandataset[[#This Row],[weekday]]&gt;=5,"Yes","No")</f>
        <v>Yes</v>
      </c>
      <c r="T460" t="b">
        <f>ISBLANK(mergedcleandataset[[#This Row],[atemp]])</f>
        <v>0</v>
      </c>
      <c r="U460" t="str">
        <f t="shared" si="7"/>
        <v>Spring</v>
      </c>
      <c r="V460" t="str">
        <f>TEXT(mergedcleandataset[[#This Row],[date]],"dddd")</f>
        <v>Friday</v>
      </c>
      <c r="W46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461" spans="1:23" x14ac:dyDescent="0.25">
      <c r="A461">
        <v>460</v>
      </c>
      <c r="B461" s="1">
        <v>40564</v>
      </c>
      <c r="C461">
        <v>1</v>
      </c>
      <c r="D461" t="str">
        <f>TEXT(mergedcleandataset[[#This Row],[dteday]],"yyyy")</f>
        <v>2011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s="2">
        <f>DATE(mergedcleandataset[[#This Row],[yr]],mergedcleandataset[[#This Row],[mnth]],mergedcleandataset[[#This Row],[day]])</f>
        <v>40564</v>
      </c>
      <c r="R461">
        <f>DAY(mergedcleandataset[[#This Row],[dteday]])</f>
        <v>21</v>
      </c>
      <c r="S461" t="str">
        <f>IF(mergedcleandataset[[#This Row],[weekday]]&gt;=5,"Yes","No")</f>
        <v>Yes</v>
      </c>
      <c r="T461" t="b">
        <f>ISBLANK(mergedcleandataset[[#This Row],[atemp]])</f>
        <v>0</v>
      </c>
      <c r="U461" t="str">
        <f t="shared" si="7"/>
        <v>Spring</v>
      </c>
      <c r="V461" t="str">
        <f>TEXT(mergedcleandataset[[#This Row],[date]],"dddd")</f>
        <v>Friday</v>
      </c>
      <c r="W46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62" spans="1:23" x14ac:dyDescent="0.25">
      <c r="A462">
        <v>461</v>
      </c>
      <c r="B462" s="1">
        <v>40564</v>
      </c>
      <c r="C462">
        <v>1</v>
      </c>
      <c r="D462" t="str">
        <f>TEXT(mergedcleandataset[[#This Row],[dteday]],"yyyy")</f>
        <v>2011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s="2">
        <f>DATE(mergedcleandataset[[#This Row],[yr]],mergedcleandataset[[#This Row],[mnth]],mergedcleandataset[[#This Row],[day]])</f>
        <v>40564</v>
      </c>
      <c r="R462">
        <f>DAY(mergedcleandataset[[#This Row],[dteday]])</f>
        <v>21</v>
      </c>
      <c r="S462" t="str">
        <f>IF(mergedcleandataset[[#This Row],[weekday]]&gt;=5,"Yes","No")</f>
        <v>Yes</v>
      </c>
      <c r="T462" t="b">
        <f>ISBLANK(mergedcleandataset[[#This Row],[atemp]])</f>
        <v>0</v>
      </c>
      <c r="U462" t="str">
        <f t="shared" si="7"/>
        <v>Spring</v>
      </c>
      <c r="V462" t="str">
        <f>TEXT(mergedcleandataset[[#This Row],[date]],"dddd")</f>
        <v>Friday</v>
      </c>
      <c r="W4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3" spans="1:23" x14ac:dyDescent="0.25">
      <c r="A463">
        <v>462</v>
      </c>
      <c r="B463" s="1">
        <v>40564</v>
      </c>
      <c r="C463">
        <v>1</v>
      </c>
      <c r="D463" t="str">
        <f>TEXT(mergedcleandataset[[#This Row],[dteday]],"yyyy")</f>
        <v>2011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s="2">
        <f>DATE(mergedcleandataset[[#This Row],[yr]],mergedcleandataset[[#This Row],[mnth]],mergedcleandataset[[#This Row],[day]])</f>
        <v>40564</v>
      </c>
      <c r="R463">
        <f>DAY(mergedcleandataset[[#This Row],[dteday]])</f>
        <v>21</v>
      </c>
      <c r="S463" t="str">
        <f>IF(mergedcleandataset[[#This Row],[weekday]]&gt;=5,"Yes","No")</f>
        <v>Yes</v>
      </c>
      <c r="T463" t="b">
        <f>ISBLANK(mergedcleandataset[[#This Row],[atemp]])</f>
        <v>0</v>
      </c>
      <c r="U463" t="str">
        <f t="shared" si="7"/>
        <v>Spring</v>
      </c>
      <c r="V463" t="str">
        <f>TEXT(mergedcleandataset[[#This Row],[date]],"dddd")</f>
        <v>Friday</v>
      </c>
      <c r="W4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4" spans="1:23" x14ac:dyDescent="0.25">
      <c r="A464">
        <v>463</v>
      </c>
      <c r="B464" s="1">
        <v>40564</v>
      </c>
      <c r="C464">
        <v>1</v>
      </c>
      <c r="D464" t="str">
        <f>TEXT(mergedcleandataset[[#This Row],[dteday]],"yyyy")</f>
        <v>2011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s="2">
        <f>DATE(mergedcleandataset[[#This Row],[yr]],mergedcleandataset[[#This Row],[mnth]],mergedcleandataset[[#This Row],[day]])</f>
        <v>40564</v>
      </c>
      <c r="R464">
        <f>DAY(mergedcleandataset[[#This Row],[dteday]])</f>
        <v>21</v>
      </c>
      <c r="S464" t="str">
        <f>IF(mergedcleandataset[[#This Row],[weekday]]&gt;=5,"Yes","No")</f>
        <v>Yes</v>
      </c>
      <c r="T464" t="b">
        <f>ISBLANK(mergedcleandataset[[#This Row],[atemp]])</f>
        <v>0</v>
      </c>
      <c r="U464" t="str">
        <f t="shared" si="7"/>
        <v>Spring</v>
      </c>
      <c r="V464" t="str">
        <f>TEXT(mergedcleandataset[[#This Row],[date]],"dddd")</f>
        <v>Friday</v>
      </c>
      <c r="W46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5" spans="1:23" x14ac:dyDescent="0.25">
      <c r="A465">
        <v>464</v>
      </c>
      <c r="B465" s="1">
        <v>40564</v>
      </c>
      <c r="C465">
        <v>1</v>
      </c>
      <c r="D465" t="str">
        <f>TEXT(mergedcleandataset[[#This Row],[dteday]],"yyyy")</f>
        <v>2011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s="2">
        <f>DATE(mergedcleandataset[[#This Row],[yr]],mergedcleandataset[[#This Row],[mnth]],mergedcleandataset[[#This Row],[day]])</f>
        <v>40564</v>
      </c>
      <c r="R465">
        <f>DAY(mergedcleandataset[[#This Row],[dteday]])</f>
        <v>21</v>
      </c>
      <c r="S465" t="str">
        <f>IF(mergedcleandataset[[#This Row],[weekday]]&gt;=5,"Yes","No")</f>
        <v>Yes</v>
      </c>
      <c r="T465" t="b">
        <f>ISBLANK(mergedcleandataset[[#This Row],[atemp]])</f>
        <v>0</v>
      </c>
      <c r="U465" t="str">
        <f t="shared" si="7"/>
        <v>Spring</v>
      </c>
      <c r="V465" t="str">
        <f>TEXT(mergedcleandataset[[#This Row],[date]],"dddd")</f>
        <v>Friday</v>
      </c>
      <c r="W46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6" spans="1:23" x14ac:dyDescent="0.25">
      <c r="A466">
        <v>465</v>
      </c>
      <c r="B466" s="1">
        <v>40564</v>
      </c>
      <c r="C466">
        <v>1</v>
      </c>
      <c r="D466" t="str">
        <f>TEXT(mergedcleandataset[[#This Row],[dteday]],"yyyy")</f>
        <v>2011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s="2">
        <f>DATE(mergedcleandataset[[#This Row],[yr]],mergedcleandataset[[#This Row],[mnth]],mergedcleandataset[[#This Row],[day]])</f>
        <v>40564</v>
      </c>
      <c r="R466">
        <f>DAY(mergedcleandataset[[#This Row],[dteday]])</f>
        <v>21</v>
      </c>
      <c r="S466" t="str">
        <f>IF(mergedcleandataset[[#This Row],[weekday]]&gt;=5,"Yes","No")</f>
        <v>Yes</v>
      </c>
      <c r="T466" t="b">
        <f>ISBLANK(mergedcleandataset[[#This Row],[atemp]])</f>
        <v>0</v>
      </c>
      <c r="U466" t="str">
        <f t="shared" si="7"/>
        <v>Spring</v>
      </c>
      <c r="V466" t="str">
        <f>TEXT(mergedcleandataset[[#This Row],[date]],"dddd")</f>
        <v>Friday</v>
      </c>
      <c r="W46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7" spans="1:23" x14ac:dyDescent="0.25">
      <c r="A467">
        <v>466</v>
      </c>
      <c r="B467" s="1">
        <v>40564</v>
      </c>
      <c r="C467">
        <v>1</v>
      </c>
      <c r="D467" t="str">
        <f>TEXT(mergedcleandataset[[#This Row],[dteday]],"yyyy")</f>
        <v>2011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s="2">
        <f>DATE(mergedcleandataset[[#This Row],[yr]],mergedcleandataset[[#This Row],[mnth]],mergedcleandataset[[#This Row],[day]])</f>
        <v>40564</v>
      </c>
      <c r="R467">
        <f>DAY(mergedcleandataset[[#This Row],[dteday]])</f>
        <v>21</v>
      </c>
      <c r="S467" t="str">
        <f>IF(mergedcleandataset[[#This Row],[weekday]]&gt;=5,"Yes","No")</f>
        <v>Yes</v>
      </c>
      <c r="T467" t="b">
        <f>ISBLANK(mergedcleandataset[[#This Row],[atemp]])</f>
        <v>0</v>
      </c>
      <c r="U467" t="str">
        <f t="shared" si="7"/>
        <v>Spring</v>
      </c>
      <c r="V467" t="str">
        <f>TEXT(mergedcleandataset[[#This Row],[date]],"dddd")</f>
        <v>Friday</v>
      </c>
      <c r="W46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8" spans="1:23" x14ac:dyDescent="0.25">
      <c r="A468">
        <v>467</v>
      </c>
      <c r="B468" s="1">
        <v>40564</v>
      </c>
      <c r="C468">
        <v>1</v>
      </c>
      <c r="D468" t="str">
        <f>TEXT(mergedcleandataset[[#This Row],[dteday]],"yyyy")</f>
        <v>2011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s="2">
        <f>DATE(mergedcleandataset[[#This Row],[yr]],mergedcleandataset[[#This Row],[mnth]],mergedcleandataset[[#This Row],[day]])</f>
        <v>40564</v>
      </c>
      <c r="R468">
        <f>DAY(mergedcleandataset[[#This Row],[dteday]])</f>
        <v>21</v>
      </c>
      <c r="S468" t="str">
        <f>IF(mergedcleandataset[[#This Row],[weekday]]&gt;=5,"Yes","No")</f>
        <v>Yes</v>
      </c>
      <c r="T468" t="b">
        <f>ISBLANK(mergedcleandataset[[#This Row],[atemp]])</f>
        <v>0</v>
      </c>
      <c r="U468" t="str">
        <f t="shared" si="7"/>
        <v>Spring</v>
      </c>
      <c r="V468" t="str">
        <f>TEXT(mergedcleandataset[[#This Row],[date]],"dddd")</f>
        <v>Friday</v>
      </c>
      <c r="W46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69" spans="1:23" x14ac:dyDescent="0.25">
      <c r="A469">
        <v>468</v>
      </c>
      <c r="B469" s="1">
        <v>40564</v>
      </c>
      <c r="C469">
        <v>1</v>
      </c>
      <c r="D469" t="str">
        <f>TEXT(mergedcleandataset[[#This Row],[dteday]],"yyyy")</f>
        <v>2011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s="2">
        <f>DATE(mergedcleandataset[[#This Row],[yr]],mergedcleandataset[[#This Row],[mnth]],mergedcleandataset[[#This Row],[day]])</f>
        <v>40564</v>
      </c>
      <c r="R469">
        <f>DAY(mergedcleandataset[[#This Row],[dteday]])</f>
        <v>21</v>
      </c>
      <c r="S469" t="str">
        <f>IF(mergedcleandataset[[#This Row],[weekday]]&gt;=5,"Yes","No")</f>
        <v>Yes</v>
      </c>
      <c r="T469" t="b">
        <f>ISBLANK(mergedcleandataset[[#This Row],[atemp]])</f>
        <v>0</v>
      </c>
      <c r="U469" t="str">
        <f t="shared" si="7"/>
        <v>Spring</v>
      </c>
      <c r="V469" t="str">
        <f>TEXT(mergedcleandataset[[#This Row],[date]],"dddd")</f>
        <v>Friday</v>
      </c>
      <c r="W46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0" spans="1:23" x14ac:dyDescent="0.25">
      <c r="A470">
        <v>469</v>
      </c>
      <c r="B470" s="1">
        <v>40564</v>
      </c>
      <c r="C470">
        <v>1</v>
      </c>
      <c r="D470" t="str">
        <f>TEXT(mergedcleandataset[[#This Row],[dteday]],"yyyy")</f>
        <v>2011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s="2">
        <f>DATE(mergedcleandataset[[#This Row],[yr]],mergedcleandataset[[#This Row],[mnth]],mergedcleandataset[[#This Row],[day]])</f>
        <v>40564</v>
      </c>
      <c r="R470">
        <f>DAY(mergedcleandataset[[#This Row],[dteday]])</f>
        <v>21</v>
      </c>
      <c r="S470" t="str">
        <f>IF(mergedcleandataset[[#This Row],[weekday]]&gt;=5,"Yes","No")</f>
        <v>Yes</v>
      </c>
      <c r="T470" t="b">
        <f>ISBLANK(mergedcleandataset[[#This Row],[atemp]])</f>
        <v>0</v>
      </c>
      <c r="U470" t="str">
        <f t="shared" si="7"/>
        <v>Spring</v>
      </c>
      <c r="V470" t="str">
        <f>TEXT(mergedcleandataset[[#This Row],[date]],"dddd")</f>
        <v>Friday</v>
      </c>
      <c r="W47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1" spans="1:23" x14ac:dyDescent="0.25">
      <c r="A471">
        <v>470</v>
      </c>
      <c r="B471" s="1">
        <v>40564</v>
      </c>
      <c r="C471">
        <v>1</v>
      </c>
      <c r="D471" t="str">
        <f>TEXT(mergedcleandataset[[#This Row],[dteday]],"yyyy")</f>
        <v>2011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s="2">
        <f>DATE(mergedcleandataset[[#This Row],[yr]],mergedcleandataset[[#This Row],[mnth]],mergedcleandataset[[#This Row],[day]])</f>
        <v>40564</v>
      </c>
      <c r="R471">
        <f>DAY(mergedcleandataset[[#This Row],[dteday]])</f>
        <v>21</v>
      </c>
      <c r="S471" t="str">
        <f>IF(mergedcleandataset[[#This Row],[weekday]]&gt;=5,"Yes","No")</f>
        <v>Yes</v>
      </c>
      <c r="T471" t="b">
        <f>ISBLANK(mergedcleandataset[[#This Row],[atemp]])</f>
        <v>0</v>
      </c>
      <c r="U471" t="str">
        <f t="shared" si="7"/>
        <v>Spring</v>
      </c>
      <c r="V471" t="str">
        <f>TEXT(mergedcleandataset[[#This Row],[date]],"dddd")</f>
        <v>Friday</v>
      </c>
      <c r="W4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2" spans="1:23" x14ac:dyDescent="0.25">
      <c r="A472">
        <v>471</v>
      </c>
      <c r="B472" s="1">
        <v>40564</v>
      </c>
      <c r="C472">
        <v>1</v>
      </c>
      <c r="D472" t="str">
        <f>TEXT(mergedcleandataset[[#This Row],[dteday]],"yyyy")</f>
        <v>2011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s="2">
        <f>DATE(mergedcleandataset[[#This Row],[yr]],mergedcleandataset[[#This Row],[mnth]],mergedcleandataset[[#This Row],[day]])</f>
        <v>40564</v>
      </c>
      <c r="R472">
        <f>DAY(mergedcleandataset[[#This Row],[dteday]])</f>
        <v>21</v>
      </c>
      <c r="S472" t="str">
        <f>IF(mergedcleandataset[[#This Row],[weekday]]&gt;=5,"Yes","No")</f>
        <v>Yes</v>
      </c>
      <c r="T472" t="b">
        <f>ISBLANK(mergedcleandataset[[#This Row],[atemp]])</f>
        <v>0</v>
      </c>
      <c r="U472" t="str">
        <f t="shared" si="7"/>
        <v>Spring</v>
      </c>
      <c r="V472" t="str">
        <f>TEXT(mergedcleandataset[[#This Row],[date]],"dddd")</f>
        <v>Friday</v>
      </c>
      <c r="W47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3" spans="1:23" x14ac:dyDescent="0.25">
      <c r="A473">
        <v>472</v>
      </c>
      <c r="B473" s="1">
        <v>40564</v>
      </c>
      <c r="C473">
        <v>1</v>
      </c>
      <c r="D473" t="str">
        <f>TEXT(mergedcleandataset[[#This Row],[dteday]],"yyyy")</f>
        <v>2011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s="2">
        <f>DATE(mergedcleandataset[[#This Row],[yr]],mergedcleandataset[[#This Row],[mnth]],mergedcleandataset[[#This Row],[day]])</f>
        <v>40564</v>
      </c>
      <c r="R473">
        <f>DAY(mergedcleandataset[[#This Row],[dteday]])</f>
        <v>21</v>
      </c>
      <c r="S473" t="str">
        <f>IF(mergedcleandataset[[#This Row],[weekday]]&gt;=5,"Yes","No")</f>
        <v>Yes</v>
      </c>
      <c r="T473" t="b">
        <f>ISBLANK(mergedcleandataset[[#This Row],[atemp]])</f>
        <v>0</v>
      </c>
      <c r="U473" t="str">
        <f t="shared" si="7"/>
        <v>Spring</v>
      </c>
      <c r="V473" t="str">
        <f>TEXT(mergedcleandataset[[#This Row],[date]],"dddd")</f>
        <v>Friday</v>
      </c>
      <c r="W47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4" spans="1:23" x14ac:dyDescent="0.25">
      <c r="A474">
        <v>473</v>
      </c>
      <c r="B474" s="1">
        <v>40564</v>
      </c>
      <c r="C474">
        <v>1</v>
      </c>
      <c r="D474" t="str">
        <f>TEXT(mergedcleandataset[[#This Row],[dteday]],"yyyy")</f>
        <v>2011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s="2">
        <f>DATE(mergedcleandataset[[#This Row],[yr]],mergedcleandataset[[#This Row],[mnth]],mergedcleandataset[[#This Row],[day]])</f>
        <v>40564</v>
      </c>
      <c r="R474">
        <f>DAY(mergedcleandataset[[#This Row],[dteday]])</f>
        <v>21</v>
      </c>
      <c r="S474" t="str">
        <f>IF(mergedcleandataset[[#This Row],[weekday]]&gt;=5,"Yes","No")</f>
        <v>Yes</v>
      </c>
      <c r="T474" t="b">
        <f>ISBLANK(mergedcleandataset[[#This Row],[atemp]])</f>
        <v>0</v>
      </c>
      <c r="U474" t="str">
        <f t="shared" si="7"/>
        <v>Spring</v>
      </c>
      <c r="V474" t="str">
        <f>TEXT(mergedcleandataset[[#This Row],[date]],"dddd")</f>
        <v>Friday</v>
      </c>
      <c r="W47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5" spans="1:23" x14ac:dyDescent="0.25">
      <c r="A475">
        <v>474</v>
      </c>
      <c r="B475" s="1">
        <v>40564</v>
      </c>
      <c r="C475">
        <v>1</v>
      </c>
      <c r="D475" t="str">
        <f>TEXT(mergedcleandataset[[#This Row],[dteday]],"yyyy")</f>
        <v>2011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s="2">
        <f>DATE(mergedcleandataset[[#This Row],[yr]],mergedcleandataset[[#This Row],[mnth]],mergedcleandataset[[#This Row],[day]])</f>
        <v>40564</v>
      </c>
      <c r="R475">
        <f>DAY(mergedcleandataset[[#This Row],[dteday]])</f>
        <v>21</v>
      </c>
      <c r="S475" t="str">
        <f>IF(mergedcleandataset[[#This Row],[weekday]]&gt;=5,"Yes","No")</f>
        <v>Yes</v>
      </c>
      <c r="T475" t="b">
        <f>ISBLANK(mergedcleandataset[[#This Row],[atemp]])</f>
        <v>0</v>
      </c>
      <c r="U475" t="str">
        <f t="shared" si="7"/>
        <v>Spring</v>
      </c>
      <c r="V475" t="str">
        <f>TEXT(mergedcleandataset[[#This Row],[date]],"dddd")</f>
        <v>Friday</v>
      </c>
      <c r="W47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6" spans="1:23" x14ac:dyDescent="0.25">
      <c r="A476">
        <v>475</v>
      </c>
      <c r="B476" s="1">
        <v>40564</v>
      </c>
      <c r="C476">
        <v>1</v>
      </c>
      <c r="D476" t="str">
        <f>TEXT(mergedcleandataset[[#This Row],[dteday]],"yyyy")</f>
        <v>2011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s="2">
        <f>DATE(mergedcleandataset[[#This Row],[yr]],mergedcleandataset[[#This Row],[mnth]],mergedcleandataset[[#This Row],[day]])</f>
        <v>40564</v>
      </c>
      <c r="R476">
        <f>DAY(mergedcleandataset[[#This Row],[dteday]])</f>
        <v>21</v>
      </c>
      <c r="S476" t="str">
        <f>IF(mergedcleandataset[[#This Row],[weekday]]&gt;=5,"Yes","No")</f>
        <v>Yes</v>
      </c>
      <c r="T476" t="b">
        <f>ISBLANK(mergedcleandataset[[#This Row],[atemp]])</f>
        <v>0</v>
      </c>
      <c r="U476" t="str">
        <f t="shared" si="7"/>
        <v>Spring</v>
      </c>
      <c r="V476" t="str">
        <f>TEXT(mergedcleandataset[[#This Row],[date]],"dddd")</f>
        <v>Friday</v>
      </c>
      <c r="W47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7" spans="1:23" x14ac:dyDescent="0.25">
      <c r="A477">
        <v>476</v>
      </c>
      <c r="B477" s="1">
        <v>40564</v>
      </c>
      <c r="C477">
        <v>1</v>
      </c>
      <c r="D477" t="str">
        <f>TEXT(mergedcleandataset[[#This Row],[dteday]],"yyyy")</f>
        <v>2011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s="2">
        <f>DATE(mergedcleandataset[[#This Row],[yr]],mergedcleandataset[[#This Row],[mnth]],mergedcleandataset[[#This Row],[day]])</f>
        <v>40564</v>
      </c>
      <c r="R477">
        <f>DAY(mergedcleandataset[[#This Row],[dteday]])</f>
        <v>21</v>
      </c>
      <c r="S477" t="str">
        <f>IF(mergedcleandataset[[#This Row],[weekday]]&gt;=5,"Yes","No")</f>
        <v>Yes</v>
      </c>
      <c r="T477" t="b">
        <f>ISBLANK(mergedcleandataset[[#This Row],[atemp]])</f>
        <v>0</v>
      </c>
      <c r="U477" t="str">
        <f t="shared" si="7"/>
        <v>Spring</v>
      </c>
      <c r="V477" t="str">
        <f>TEXT(mergedcleandataset[[#This Row],[date]],"dddd")</f>
        <v>Friday</v>
      </c>
      <c r="W47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8" spans="1:23" x14ac:dyDescent="0.25">
      <c r="A478">
        <v>477</v>
      </c>
      <c r="B478" s="1">
        <v>40564</v>
      </c>
      <c r="C478">
        <v>1</v>
      </c>
      <c r="D478" t="str">
        <f>TEXT(mergedcleandataset[[#This Row],[dteday]],"yyyy")</f>
        <v>2011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s="2">
        <f>DATE(mergedcleandataset[[#This Row],[yr]],mergedcleandataset[[#This Row],[mnth]],mergedcleandataset[[#This Row],[day]])</f>
        <v>40564</v>
      </c>
      <c r="R478">
        <f>DAY(mergedcleandataset[[#This Row],[dteday]])</f>
        <v>21</v>
      </c>
      <c r="S478" t="str">
        <f>IF(mergedcleandataset[[#This Row],[weekday]]&gt;=5,"Yes","No")</f>
        <v>Yes</v>
      </c>
      <c r="T478" t="b">
        <f>ISBLANK(mergedcleandataset[[#This Row],[atemp]])</f>
        <v>0</v>
      </c>
      <c r="U478" t="str">
        <f t="shared" si="7"/>
        <v>Spring</v>
      </c>
      <c r="V478" t="str">
        <f>TEXT(mergedcleandataset[[#This Row],[date]],"dddd")</f>
        <v>Friday</v>
      </c>
      <c r="W47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79" spans="1:23" x14ac:dyDescent="0.25">
      <c r="A479">
        <v>478</v>
      </c>
      <c r="B479" s="1">
        <v>40564</v>
      </c>
      <c r="C479">
        <v>1</v>
      </c>
      <c r="D479" t="str">
        <f>TEXT(mergedcleandataset[[#This Row],[dteday]],"yyyy")</f>
        <v>2011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s="2">
        <f>DATE(mergedcleandataset[[#This Row],[yr]],mergedcleandataset[[#This Row],[mnth]],mergedcleandataset[[#This Row],[day]])</f>
        <v>40564</v>
      </c>
      <c r="R479">
        <f>DAY(mergedcleandataset[[#This Row],[dteday]])</f>
        <v>21</v>
      </c>
      <c r="S479" t="str">
        <f>IF(mergedcleandataset[[#This Row],[weekday]]&gt;=5,"Yes","No")</f>
        <v>Yes</v>
      </c>
      <c r="T479" t="b">
        <f>ISBLANK(mergedcleandataset[[#This Row],[atemp]])</f>
        <v>0</v>
      </c>
      <c r="U479" t="str">
        <f t="shared" si="7"/>
        <v>Spring</v>
      </c>
      <c r="V479" t="str">
        <f>TEXT(mergedcleandataset[[#This Row],[date]],"dddd")</f>
        <v>Friday</v>
      </c>
      <c r="W47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80" spans="1:23" x14ac:dyDescent="0.25">
      <c r="A480">
        <v>479</v>
      </c>
      <c r="B480" s="1">
        <v>40564</v>
      </c>
      <c r="C480">
        <v>1</v>
      </c>
      <c r="D480" t="str">
        <f>TEXT(mergedcleandataset[[#This Row],[dteday]],"yyyy")</f>
        <v>2011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s="2">
        <f>DATE(mergedcleandataset[[#This Row],[yr]],mergedcleandataset[[#This Row],[mnth]],mergedcleandataset[[#This Row],[day]])</f>
        <v>40564</v>
      </c>
      <c r="R480">
        <f>DAY(mergedcleandataset[[#This Row],[dteday]])</f>
        <v>21</v>
      </c>
      <c r="S480" t="str">
        <f>IF(mergedcleandataset[[#This Row],[weekday]]&gt;=5,"Yes","No")</f>
        <v>Yes</v>
      </c>
      <c r="T480" t="b">
        <f>ISBLANK(mergedcleandataset[[#This Row],[atemp]])</f>
        <v>0</v>
      </c>
      <c r="U480" t="str">
        <f t="shared" si="7"/>
        <v>Spring</v>
      </c>
      <c r="V480" t="str">
        <f>TEXT(mergedcleandataset[[#This Row],[date]],"dddd")</f>
        <v>Friday</v>
      </c>
      <c r="W48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81" spans="1:23" x14ac:dyDescent="0.25">
      <c r="A481">
        <v>480</v>
      </c>
      <c r="B481" s="1">
        <v>40565</v>
      </c>
      <c r="C481">
        <v>1</v>
      </c>
      <c r="D481" t="str">
        <f>TEXT(mergedcleandataset[[#This Row],[dteday]],"yyyy")</f>
        <v>2011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s="2">
        <f>DATE(mergedcleandataset[[#This Row],[yr]],mergedcleandataset[[#This Row],[mnth]],mergedcleandataset[[#This Row],[day]])</f>
        <v>40565</v>
      </c>
      <c r="R481">
        <f>DAY(mergedcleandataset[[#This Row],[dteday]])</f>
        <v>22</v>
      </c>
      <c r="S481" t="str">
        <f>IF(mergedcleandataset[[#This Row],[weekday]]&gt;=5,"Yes","No")</f>
        <v>Yes</v>
      </c>
      <c r="T481" t="b">
        <f>ISBLANK(mergedcleandataset[[#This Row],[atemp]])</f>
        <v>0</v>
      </c>
      <c r="U481" t="str">
        <f t="shared" si="7"/>
        <v>Spring</v>
      </c>
      <c r="V481" t="str">
        <f>TEXT(mergedcleandataset[[#This Row],[date]],"dddd")</f>
        <v>Saturday</v>
      </c>
      <c r="W48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82" spans="1:23" x14ac:dyDescent="0.25">
      <c r="A482">
        <v>481</v>
      </c>
      <c r="B482" s="1">
        <v>40565</v>
      </c>
      <c r="C482">
        <v>1</v>
      </c>
      <c r="D482" t="str">
        <f>TEXT(mergedcleandataset[[#This Row],[dteday]],"yyyy")</f>
        <v>2011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s="2">
        <f>DATE(mergedcleandataset[[#This Row],[yr]],mergedcleandataset[[#This Row],[mnth]],mergedcleandataset[[#This Row],[day]])</f>
        <v>40565</v>
      </c>
      <c r="R482">
        <f>DAY(mergedcleandataset[[#This Row],[dteday]])</f>
        <v>22</v>
      </c>
      <c r="S482" t="str">
        <f>IF(mergedcleandataset[[#This Row],[weekday]]&gt;=5,"Yes","No")</f>
        <v>Yes</v>
      </c>
      <c r="T482" t="b">
        <f>ISBLANK(mergedcleandataset[[#This Row],[atemp]])</f>
        <v>0</v>
      </c>
      <c r="U482" t="str">
        <f t="shared" si="7"/>
        <v>Spring</v>
      </c>
      <c r="V482" t="str">
        <f>TEXT(mergedcleandataset[[#This Row],[date]],"dddd")</f>
        <v>Saturday</v>
      </c>
      <c r="W48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83" spans="1:23" x14ac:dyDescent="0.25">
      <c r="A483">
        <v>482</v>
      </c>
      <c r="B483" s="1">
        <v>40565</v>
      </c>
      <c r="C483">
        <v>1</v>
      </c>
      <c r="D483" t="str">
        <f>TEXT(mergedcleandataset[[#This Row],[dteday]],"yyyy")</f>
        <v>2011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s="2">
        <f>DATE(mergedcleandataset[[#This Row],[yr]],mergedcleandataset[[#This Row],[mnth]],mergedcleandataset[[#This Row],[day]])</f>
        <v>40565</v>
      </c>
      <c r="R483">
        <f>DAY(mergedcleandataset[[#This Row],[dteday]])</f>
        <v>22</v>
      </c>
      <c r="S483" t="str">
        <f>IF(mergedcleandataset[[#This Row],[weekday]]&gt;=5,"Yes","No")</f>
        <v>Yes</v>
      </c>
      <c r="T483" t="b">
        <f>ISBLANK(mergedcleandataset[[#This Row],[atemp]])</f>
        <v>0</v>
      </c>
      <c r="U483" t="str">
        <f t="shared" si="7"/>
        <v>Spring</v>
      </c>
      <c r="V483" t="str">
        <f>TEXT(mergedcleandataset[[#This Row],[date]],"dddd")</f>
        <v>Saturday</v>
      </c>
      <c r="W48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84" spans="1:23" x14ac:dyDescent="0.25">
      <c r="A484">
        <v>483</v>
      </c>
      <c r="B484" s="1">
        <v>40565</v>
      </c>
      <c r="C484">
        <v>1</v>
      </c>
      <c r="D484" t="str">
        <f>TEXT(mergedcleandataset[[#This Row],[dteday]],"yyyy")</f>
        <v>2011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s="2">
        <f>DATE(mergedcleandataset[[#This Row],[yr]],mergedcleandataset[[#This Row],[mnth]],mergedcleandataset[[#This Row],[day]])</f>
        <v>40565</v>
      </c>
      <c r="R484">
        <f>DAY(mergedcleandataset[[#This Row],[dteday]])</f>
        <v>22</v>
      </c>
      <c r="S484" t="str">
        <f>IF(mergedcleandataset[[#This Row],[weekday]]&gt;=5,"Yes","No")</f>
        <v>Yes</v>
      </c>
      <c r="T484" t="b">
        <f>ISBLANK(mergedcleandataset[[#This Row],[atemp]])</f>
        <v>0</v>
      </c>
      <c r="U484" t="str">
        <f t="shared" si="7"/>
        <v>Spring</v>
      </c>
      <c r="V484" t="str">
        <f>TEXT(mergedcleandataset[[#This Row],[date]],"dddd")</f>
        <v>Saturday</v>
      </c>
      <c r="W48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85" spans="1:23" x14ac:dyDescent="0.25">
      <c r="A485">
        <v>484</v>
      </c>
      <c r="B485" s="1">
        <v>40565</v>
      </c>
      <c r="C485">
        <v>1</v>
      </c>
      <c r="D485" t="str">
        <f>TEXT(mergedcleandataset[[#This Row],[dteday]],"yyyy")</f>
        <v>2011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s="2">
        <f>DATE(mergedcleandataset[[#This Row],[yr]],mergedcleandataset[[#This Row],[mnth]],mergedcleandataset[[#This Row],[day]])</f>
        <v>40565</v>
      </c>
      <c r="R485">
        <f>DAY(mergedcleandataset[[#This Row],[dteday]])</f>
        <v>22</v>
      </c>
      <c r="S485" t="str">
        <f>IF(mergedcleandataset[[#This Row],[weekday]]&gt;=5,"Yes","No")</f>
        <v>Yes</v>
      </c>
      <c r="T485" t="b">
        <f>ISBLANK(mergedcleandataset[[#This Row],[atemp]])</f>
        <v>0</v>
      </c>
      <c r="U485" t="str">
        <f t="shared" si="7"/>
        <v>Spring</v>
      </c>
      <c r="V485" t="str">
        <f>TEXT(mergedcleandataset[[#This Row],[date]],"dddd")</f>
        <v>Saturday</v>
      </c>
      <c r="W48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86" spans="1:23" x14ac:dyDescent="0.25">
      <c r="A486">
        <v>485</v>
      </c>
      <c r="B486" s="1">
        <v>40565</v>
      </c>
      <c r="C486">
        <v>1</v>
      </c>
      <c r="D486" t="str">
        <f>TEXT(mergedcleandataset[[#This Row],[dteday]],"yyyy")</f>
        <v>2011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s="2">
        <f>DATE(mergedcleandataset[[#This Row],[yr]],mergedcleandataset[[#This Row],[mnth]],mergedcleandataset[[#This Row],[day]])</f>
        <v>40565</v>
      </c>
      <c r="R486">
        <f>DAY(mergedcleandataset[[#This Row],[dteday]])</f>
        <v>22</v>
      </c>
      <c r="S486" t="str">
        <f>IF(mergedcleandataset[[#This Row],[weekday]]&gt;=5,"Yes","No")</f>
        <v>Yes</v>
      </c>
      <c r="T486" t="b">
        <f>ISBLANK(mergedcleandataset[[#This Row],[atemp]])</f>
        <v>0</v>
      </c>
      <c r="U486" t="str">
        <f t="shared" si="7"/>
        <v>Spring</v>
      </c>
      <c r="V486" t="str">
        <f>TEXT(mergedcleandataset[[#This Row],[date]],"dddd")</f>
        <v>Saturday</v>
      </c>
      <c r="W48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87" spans="1:23" x14ac:dyDescent="0.25">
      <c r="A487">
        <v>486</v>
      </c>
      <c r="B487" s="1">
        <v>40565</v>
      </c>
      <c r="C487">
        <v>1</v>
      </c>
      <c r="D487" t="str">
        <f>TEXT(mergedcleandataset[[#This Row],[dteday]],"yyyy")</f>
        <v>2011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s="2">
        <f>DATE(mergedcleandataset[[#This Row],[yr]],mergedcleandataset[[#This Row],[mnth]],mergedcleandataset[[#This Row],[day]])</f>
        <v>40565</v>
      </c>
      <c r="R487">
        <f>DAY(mergedcleandataset[[#This Row],[dteday]])</f>
        <v>22</v>
      </c>
      <c r="S487" t="str">
        <f>IF(mergedcleandataset[[#This Row],[weekday]]&gt;=5,"Yes","No")</f>
        <v>Yes</v>
      </c>
      <c r="T487" t="b">
        <f>ISBLANK(mergedcleandataset[[#This Row],[atemp]])</f>
        <v>0</v>
      </c>
      <c r="U487" t="str">
        <f t="shared" si="7"/>
        <v>Spring</v>
      </c>
      <c r="V487" t="str">
        <f>TEXT(mergedcleandataset[[#This Row],[date]],"dddd")</f>
        <v>Saturday</v>
      </c>
      <c r="W48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88" spans="1:23" x14ac:dyDescent="0.25">
      <c r="A488">
        <v>487</v>
      </c>
      <c r="B488" s="1">
        <v>40565</v>
      </c>
      <c r="C488">
        <v>1</v>
      </c>
      <c r="D488" t="str">
        <f>TEXT(mergedcleandataset[[#This Row],[dteday]],"yyyy")</f>
        <v>2011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s="2">
        <f>DATE(mergedcleandataset[[#This Row],[yr]],mergedcleandataset[[#This Row],[mnth]],mergedcleandataset[[#This Row],[day]])</f>
        <v>40565</v>
      </c>
      <c r="R488">
        <f>DAY(mergedcleandataset[[#This Row],[dteday]])</f>
        <v>22</v>
      </c>
      <c r="S488" t="str">
        <f>IF(mergedcleandataset[[#This Row],[weekday]]&gt;=5,"Yes","No")</f>
        <v>Yes</v>
      </c>
      <c r="T488" t="b">
        <f>ISBLANK(mergedcleandataset[[#This Row],[atemp]])</f>
        <v>0</v>
      </c>
      <c r="U488" t="str">
        <f t="shared" si="7"/>
        <v>Spring</v>
      </c>
      <c r="V488" t="str">
        <f>TEXT(mergedcleandataset[[#This Row],[date]],"dddd")</f>
        <v>Saturday</v>
      </c>
      <c r="W48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89" spans="1:23" x14ac:dyDescent="0.25">
      <c r="A489">
        <v>488</v>
      </c>
      <c r="B489" s="1">
        <v>40565</v>
      </c>
      <c r="C489">
        <v>1</v>
      </c>
      <c r="D489" t="str">
        <f>TEXT(mergedcleandataset[[#This Row],[dteday]],"yyyy")</f>
        <v>2011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s="2">
        <f>DATE(mergedcleandataset[[#This Row],[yr]],mergedcleandataset[[#This Row],[mnth]],mergedcleandataset[[#This Row],[day]])</f>
        <v>40565</v>
      </c>
      <c r="R489">
        <f>DAY(mergedcleandataset[[#This Row],[dteday]])</f>
        <v>22</v>
      </c>
      <c r="S489" t="str">
        <f>IF(mergedcleandataset[[#This Row],[weekday]]&gt;=5,"Yes","No")</f>
        <v>Yes</v>
      </c>
      <c r="T489" t="b">
        <f>ISBLANK(mergedcleandataset[[#This Row],[atemp]])</f>
        <v>0</v>
      </c>
      <c r="U489" t="str">
        <f t="shared" si="7"/>
        <v>Spring</v>
      </c>
      <c r="V489" t="str">
        <f>TEXT(mergedcleandataset[[#This Row],[date]],"dddd")</f>
        <v>Saturday</v>
      </c>
      <c r="W48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0" spans="1:23" x14ac:dyDescent="0.25">
      <c r="A490">
        <v>489</v>
      </c>
      <c r="B490" s="1">
        <v>40565</v>
      </c>
      <c r="C490">
        <v>1</v>
      </c>
      <c r="D490" t="str">
        <f>TEXT(mergedcleandataset[[#This Row],[dteday]],"yyyy")</f>
        <v>2011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s="2">
        <f>DATE(mergedcleandataset[[#This Row],[yr]],mergedcleandataset[[#This Row],[mnth]],mergedcleandataset[[#This Row],[day]])</f>
        <v>40565</v>
      </c>
      <c r="R490">
        <f>DAY(mergedcleandataset[[#This Row],[dteday]])</f>
        <v>22</v>
      </c>
      <c r="S490" t="str">
        <f>IF(mergedcleandataset[[#This Row],[weekday]]&gt;=5,"Yes","No")</f>
        <v>Yes</v>
      </c>
      <c r="T490" t="b">
        <f>ISBLANK(mergedcleandataset[[#This Row],[atemp]])</f>
        <v>0</v>
      </c>
      <c r="U490" t="str">
        <f t="shared" si="7"/>
        <v>Spring</v>
      </c>
      <c r="V490" t="str">
        <f>TEXT(mergedcleandataset[[#This Row],[date]],"dddd")</f>
        <v>Saturday</v>
      </c>
      <c r="W49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91" spans="1:23" x14ac:dyDescent="0.25">
      <c r="A491">
        <v>490</v>
      </c>
      <c r="B491" s="1">
        <v>40565</v>
      </c>
      <c r="C491">
        <v>1</v>
      </c>
      <c r="D491" t="str">
        <f>TEXT(mergedcleandataset[[#This Row],[dteday]],"yyyy")</f>
        <v>2011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s="2">
        <f>DATE(mergedcleandataset[[#This Row],[yr]],mergedcleandataset[[#This Row],[mnth]],mergedcleandataset[[#This Row],[day]])</f>
        <v>40565</v>
      </c>
      <c r="R491">
        <f>DAY(mergedcleandataset[[#This Row],[dteday]])</f>
        <v>22</v>
      </c>
      <c r="S491" t="str">
        <f>IF(mergedcleandataset[[#This Row],[weekday]]&gt;=5,"Yes","No")</f>
        <v>Yes</v>
      </c>
      <c r="T491" t="b">
        <f>ISBLANK(mergedcleandataset[[#This Row],[atemp]])</f>
        <v>0</v>
      </c>
      <c r="U491" t="str">
        <f t="shared" si="7"/>
        <v>Spring</v>
      </c>
      <c r="V491" t="str">
        <f>TEXT(mergedcleandataset[[#This Row],[date]],"dddd")</f>
        <v>Saturday</v>
      </c>
      <c r="W49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92" spans="1:23" x14ac:dyDescent="0.25">
      <c r="A492">
        <v>491</v>
      </c>
      <c r="B492" s="1">
        <v>40565</v>
      </c>
      <c r="C492">
        <v>1</v>
      </c>
      <c r="D492" t="str">
        <f>TEXT(mergedcleandataset[[#This Row],[dteday]],"yyyy")</f>
        <v>2011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s="2">
        <f>DATE(mergedcleandataset[[#This Row],[yr]],mergedcleandataset[[#This Row],[mnth]],mergedcleandataset[[#This Row],[day]])</f>
        <v>40565</v>
      </c>
      <c r="R492">
        <f>DAY(mergedcleandataset[[#This Row],[dteday]])</f>
        <v>22</v>
      </c>
      <c r="S492" t="str">
        <f>IF(mergedcleandataset[[#This Row],[weekday]]&gt;=5,"Yes","No")</f>
        <v>Yes</v>
      </c>
      <c r="T492" t="b">
        <f>ISBLANK(mergedcleandataset[[#This Row],[atemp]])</f>
        <v>0</v>
      </c>
      <c r="U492" t="str">
        <f t="shared" si="7"/>
        <v>Spring</v>
      </c>
      <c r="V492" t="str">
        <f>TEXT(mergedcleandataset[[#This Row],[date]],"dddd")</f>
        <v>Saturday</v>
      </c>
      <c r="W49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493" spans="1:23" x14ac:dyDescent="0.25">
      <c r="A493">
        <v>492</v>
      </c>
      <c r="B493" s="1">
        <v>40565</v>
      </c>
      <c r="C493">
        <v>1</v>
      </c>
      <c r="D493" t="str">
        <f>TEXT(mergedcleandataset[[#This Row],[dteday]],"yyyy")</f>
        <v>2011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s="2">
        <f>DATE(mergedcleandataset[[#This Row],[yr]],mergedcleandataset[[#This Row],[mnth]],mergedcleandataset[[#This Row],[day]])</f>
        <v>40565</v>
      </c>
      <c r="R493">
        <f>DAY(mergedcleandataset[[#This Row],[dteday]])</f>
        <v>22</v>
      </c>
      <c r="S493" t="str">
        <f>IF(mergedcleandataset[[#This Row],[weekday]]&gt;=5,"Yes","No")</f>
        <v>Yes</v>
      </c>
      <c r="T493" t="b">
        <f>ISBLANK(mergedcleandataset[[#This Row],[atemp]])</f>
        <v>0</v>
      </c>
      <c r="U493" t="str">
        <f t="shared" si="7"/>
        <v>Spring</v>
      </c>
      <c r="V493" t="str">
        <f>TEXT(mergedcleandataset[[#This Row],[date]],"dddd")</f>
        <v>Saturday</v>
      </c>
      <c r="W49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4" spans="1:23" x14ac:dyDescent="0.25">
      <c r="A494">
        <v>493</v>
      </c>
      <c r="B494" s="1">
        <v>40565</v>
      </c>
      <c r="C494">
        <v>1</v>
      </c>
      <c r="D494" t="str">
        <f>TEXT(mergedcleandataset[[#This Row],[dteday]],"yyyy")</f>
        <v>2011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s="2">
        <f>DATE(mergedcleandataset[[#This Row],[yr]],mergedcleandataset[[#This Row],[mnth]],mergedcleandataset[[#This Row],[day]])</f>
        <v>40565</v>
      </c>
      <c r="R494">
        <f>DAY(mergedcleandataset[[#This Row],[dteday]])</f>
        <v>22</v>
      </c>
      <c r="S494" t="str">
        <f>IF(mergedcleandataset[[#This Row],[weekday]]&gt;=5,"Yes","No")</f>
        <v>Yes</v>
      </c>
      <c r="T494" t="b">
        <f>ISBLANK(mergedcleandataset[[#This Row],[atemp]])</f>
        <v>0</v>
      </c>
      <c r="U494" t="str">
        <f t="shared" si="7"/>
        <v>Spring</v>
      </c>
      <c r="V494" t="str">
        <f>TEXT(mergedcleandataset[[#This Row],[date]],"dddd")</f>
        <v>Saturday</v>
      </c>
      <c r="W4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5" spans="1:23" x14ac:dyDescent="0.25">
      <c r="A495">
        <v>494</v>
      </c>
      <c r="B495" s="1">
        <v>40565</v>
      </c>
      <c r="C495">
        <v>1</v>
      </c>
      <c r="D495" t="str">
        <f>TEXT(mergedcleandataset[[#This Row],[dteday]],"yyyy")</f>
        <v>2011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s="2">
        <f>DATE(mergedcleandataset[[#This Row],[yr]],mergedcleandataset[[#This Row],[mnth]],mergedcleandataset[[#This Row],[day]])</f>
        <v>40565</v>
      </c>
      <c r="R495">
        <f>DAY(mergedcleandataset[[#This Row],[dteday]])</f>
        <v>22</v>
      </c>
      <c r="S495" t="str">
        <f>IF(mergedcleandataset[[#This Row],[weekday]]&gt;=5,"Yes","No")</f>
        <v>Yes</v>
      </c>
      <c r="T495" t="b">
        <f>ISBLANK(mergedcleandataset[[#This Row],[atemp]])</f>
        <v>0</v>
      </c>
      <c r="U495" t="str">
        <f t="shared" si="7"/>
        <v>Spring</v>
      </c>
      <c r="V495" t="str">
        <f>TEXT(mergedcleandataset[[#This Row],[date]],"dddd")</f>
        <v>Saturday</v>
      </c>
      <c r="W4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6" spans="1:23" x14ac:dyDescent="0.25">
      <c r="A496">
        <v>495</v>
      </c>
      <c r="B496" s="1">
        <v>40565</v>
      </c>
      <c r="C496">
        <v>1</v>
      </c>
      <c r="D496" t="str">
        <f>TEXT(mergedcleandataset[[#This Row],[dteday]],"yyyy")</f>
        <v>2011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s="2">
        <f>DATE(mergedcleandataset[[#This Row],[yr]],mergedcleandataset[[#This Row],[mnth]],mergedcleandataset[[#This Row],[day]])</f>
        <v>40565</v>
      </c>
      <c r="R496">
        <f>DAY(mergedcleandataset[[#This Row],[dteday]])</f>
        <v>22</v>
      </c>
      <c r="S496" t="str">
        <f>IF(mergedcleandataset[[#This Row],[weekday]]&gt;=5,"Yes","No")</f>
        <v>Yes</v>
      </c>
      <c r="T496" t="b">
        <f>ISBLANK(mergedcleandataset[[#This Row],[atemp]])</f>
        <v>0</v>
      </c>
      <c r="U496" t="str">
        <f t="shared" si="7"/>
        <v>Spring</v>
      </c>
      <c r="V496" t="str">
        <f>TEXT(mergedcleandataset[[#This Row],[date]],"dddd")</f>
        <v>Saturday</v>
      </c>
      <c r="W49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7" spans="1:23" x14ac:dyDescent="0.25">
      <c r="A497">
        <v>496</v>
      </c>
      <c r="B497" s="1">
        <v>40565</v>
      </c>
      <c r="C497">
        <v>1</v>
      </c>
      <c r="D497" t="str">
        <f>TEXT(mergedcleandataset[[#This Row],[dteday]],"yyyy")</f>
        <v>2011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s="2">
        <f>DATE(mergedcleandataset[[#This Row],[yr]],mergedcleandataset[[#This Row],[mnth]],mergedcleandataset[[#This Row],[day]])</f>
        <v>40565</v>
      </c>
      <c r="R497">
        <f>DAY(mergedcleandataset[[#This Row],[dteday]])</f>
        <v>22</v>
      </c>
      <c r="S497" t="str">
        <f>IF(mergedcleandataset[[#This Row],[weekday]]&gt;=5,"Yes","No")</f>
        <v>Yes</v>
      </c>
      <c r="T497" t="b">
        <f>ISBLANK(mergedcleandataset[[#This Row],[atemp]])</f>
        <v>0</v>
      </c>
      <c r="U497" t="str">
        <f t="shared" si="7"/>
        <v>Spring</v>
      </c>
      <c r="V497" t="str">
        <f>TEXT(mergedcleandataset[[#This Row],[date]],"dddd")</f>
        <v>Saturday</v>
      </c>
      <c r="W49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8" spans="1:23" x14ac:dyDescent="0.25">
      <c r="A498">
        <v>497</v>
      </c>
      <c r="B498" s="1">
        <v>40565</v>
      </c>
      <c r="C498">
        <v>1</v>
      </c>
      <c r="D498" t="str">
        <f>TEXT(mergedcleandataset[[#This Row],[dteday]],"yyyy")</f>
        <v>2011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s="2">
        <f>DATE(mergedcleandataset[[#This Row],[yr]],mergedcleandataset[[#This Row],[mnth]],mergedcleandataset[[#This Row],[day]])</f>
        <v>40565</v>
      </c>
      <c r="R498">
        <f>DAY(mergedcleandataset[[#This Row],[dteday]])</f>
        <v>22</v>
      </c>
      <c r="S498" t="str">
        <f>IF(mergedcleandataset[[#This Row],[weekday]]&gt;=5,"Yes","No")</f>
        <v>Yes</v>
      </c>
      <c r="T498" t="b">
        <f>ISBLANK(mergedcleandataset[[#This Row],[atemp]])</f>
        <v>0</v>
      </c>
      <c r="U498" t="str">
        <f t="shared" si="7"/>
        <v>Spring</v>
      </c>
      <c r="V498" t="str">
        <f>TEXT(mergedcleandataset[[#This Row],[date]],"dddd")</f>
        <v>Saturday</v>
      </c>
      <c r="W49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499" spans="1:23" x14ac:dyDescent="0.25">
      <c r="A499">
        <v>498</v>
      </c>
      <c r="B499" s="1">
        <v>40565</v>
      </c>
      <c r="C499">
        <v>1</v>
      </c>
      <c r="D499" t="str">
        <f>TEXT(mergedcleandataset[[#This Row],[dteday]],"yyyy")</f>
        <v>2011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s="2">
        <f>DATE(mergedcleandataset[[#This Row],[yr]],mergedcleandataset[[#This Row],[mnth]],mergedcleandataset[[#This Row],[day]])</f>
        <v>40565</v>
      </c>
      <c r="R499">
        <f>DAY(mergedcleandataset[[#This Row],[dteday]])</f>
        <v>22</v>
      </c>
      <c r="S499" t="str">
        <f>IF(mergedcleandataset[[#This Row],[weekday]]&gt;=5,"Yes","No")</f>
        <v>Yes</v>
      </c>
      <c r="T499" t="b">
        <f>ISBLANK(mergedcleandataset[[#This Row],[atemp]])</f>
        <v>0</v>
      </c>
      <c r="U499" t="str">
        <f t="shared" si="7"/>
        <v>Spring</v>
      </c>
      <c r="V499" t="str">
        <f>TEXT(mergedcleandataset[[#This Row],[date]],"dddd")</f>
        <v>Saturday</v>
      </c>
      <c r="W4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0" spans="1:23" x14ac:dyDescent="0.25">
      <c r="A500">
        <v>499</v>
      </c>
      <c r="B500" s="1">
        <v>40565</v>
      </c>
      <c r="C500">
        <v>1</v>
      </c>
      <c r="D500" t="str">
        <f>TEXT(mergedcleandataset[[#This Row],[dteday]],"yyyy")</f>
        <v>2011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s="2">
        <f>DATE(mergedcleandataset[[#This Row],[yr]],mergedcleandataset[[#This Row],[mnth]],mergedcleandataset[[#This Row],[day]])</f>
        <v>40565</v>
      </c>
      <c r="R500">
        <f>DAY(mergedcleandataset[[#This Row],[dteday]])</f>
        <v>22</v>
      </c>
      <c r="S500" t="str">
        <f>IF(mergedcleandataset[[#This Row],[weekday]]&gt;=5,"Yes","No")</f>
        <v>Yes</v>
      </c>
      <c r="T500" t="b">
        <f>ISBLANK(mergedcleandataset[[#This Row],[atemp]])</f>
        <v>0</v>
      </c>
      <c r="U500" t="str">
        <f t="shared" si="7"/>
        <v>Spring</v>
      </c>
      <c r="V500" t="str">
        <f>TEXT(mergedcleandataset[[#This Row],[date]],"dddd")</f>
        <v>Saturday</v>
      </c>
      <c r="W5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1" spans="1:23" x14ac:dyDescent="0.25">
      <c r="A501">
        <v>500</v>
      </c>
      <c r="B501" s="1">
        <v>40565</v>
      </c>
      <c r="C501">
        <v>1</v>
      </c>
      <c r="D501" t="str">
        <f>TEXT(mergedcleandataset[[#This Row],[dteday]],"yyyy")</f>
        <v>2011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s="2">
        <f>DATE(mergedcleandataset[[#This Row],[yr]],mergedcleandataset[[#This Row],[mnth]],mergedcleandataset[[#This Row],[day]])</f>
        <v>40565</v>
      </c>
      <c r="R501">
        <f>DAY(mergedcleandataset[[#This Row],[dteday]])</f>
        <v>22</v>
      </c>
      <c r="S501" t="str">
        <f>IF(mergedcleandataset[[#This Row],[weekday]]&gt;=5,"Yes","No")</f>
        <v>Yes</v>
      </c>
      <c r="T501" t="b">
        <f>ISBLANK(mergedcleandataset[[#This Row],[atemp]])</f>
        <v>0</v>
      </c>
      <c r="U501" t="str">
        <f t="shared" si="7"/>
        <v>Spring</v>
      </c>
      <c r="V501" t="str">
        <f>TEXT(mergedcleandataset[[#This Row],[date]],"dddd")</f>
        <v>Saturday</v>
      </c>
      <c r="W5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2" spans="1:23" x14ac:dyDescent="0.25">
      <c r="A502">
        <v>501</v>
      </c>
      <c r="B502" s="1">
        <v>40565</v>
      </c>
      <c r="C502">
        <v>1</v>
      </c>
      <c r="D502" t="str">
        <f>TEXT(mergedcleandataset[[#This Row],[dteday]],"yyyy")</f>
        <v>2011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s="2">
        <f>DATE(mergedcleandataset[[#This Row],[yr]],mergedcleandataset[[#This Row],[mnth]],mergedcleandataset[[#This Row],[day]])</f>
        <v>40565</v>
      </c>
      <c r="R502">
        <f>DAY(mergedcleandataset[[#This Row],[dteday]])</f>
        <v>22</v>
      </c>
      <c r="S502" t="str">
        <f>IF(mergedcleandataset[[#This Row],[weekday]]&gt;=5,"Yes","No")</f>
        <v>Yes</v>
      </c>
      <c r="T502" t="b">
        <f>ISBLANK(mergedcleandataset[[#This Row],[atemp]])</f>
        <v>0</v>
      </c>
      <c r="U502" t="str">
        <f t="shared" si="7"/>
        <v>Spring</v>
      </c>
      <c r="V502" t="str">
        <f>TEXT(mergedcleandataset[[#This Row],[date]],"dddd")</f>
        <v>Saturday</v>
      </c>
      <c r="W50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3" spans="1:23" x14ac:dyDescent="0.25">
      <c r="A503">
        <v>502</v>
      </c>
      <c r="B503" s="1">
        <v>40565</v>
      </c>
      <c r="C503">
        <v>1</v>
      </c>
      <c r="D503" t="str">
        <f>TEXT(mergedcleandataset[[#This Row],[dteday]],"yyyy")</f>
        <v>2011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s="2">
        <f>DATE(mergedcleandataset[[#This Row],[yr]],mergedcleandataset[[#This Row],[mnth]],mergedcleandataset[[#This Row],[day]])</f>
        <v>40565</v>
      </c>
      <c r="R503">
        <f>DAY(mergedcleandataset[[#This Row],[dteday]])</f>
        <v>22</v>
      </c>
      <c r="S503" t="str">
        <f>IF(mergedcleandataset[[#This Row],[weekday]]&gt;=5,"Yes","No")</f>
        <v>Yes</v>
      </c>
      <c r="T503" t="b">
        <f>ISBLANK(mergedcleandataset[[#This Row],[atemp]])</f>
        <v>0</v>
      </c>
      <c r="U503" t="str">
        <f t="shared" si="7"/>
        <v>Spring</v>
      </c>
      <c r="V503" t="str">
        <f>TEXT(mergedcleandataset[[#This Row],[date]],"dddd")</f>
        <v>Saturday</v>
      </c>
      <c r="W50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4" spans="1:23" x14ac:dyDescent="0.25">
      <c r="A504">
        <v>503</v>
      </c>
      <c r="B504" s="1">
        <v>40566</v>
      </c>
      <c r="C504">
        <v>1</v>
      </c>
      <c r="D504" t="str">
        <f>TEXT(mergedcleandataset[[#This Row],[dteday]],"yyyy")</f>
        <v>2011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s="2">
        <f>DATE(mergedcleandataset[[#This Row],[yr]],mergedcleandataset[[#This Row],[mnth]],mergedcleandataset[[#This Row],[day]])</f>
        <v>40566</v>
      </c>
      <c r="R504">
        <f>DAY(mergedcleandataset[[#This Row],[dteday]])</f>
        <v>23</v>
      </c>
      <c r="S504" t="str">
        <f>IF(mergedcleandataset[[#This Row],[weekday]]&gt;=5,"Yes","No")</f>
        <v>No</v>
      </c>
      <c r="T504" t="b">
        <f>ISBLANK(mergedcleandataset[[#This Row],[atemp]])</f>
        <v>0</v>
      </c>
      <c r="U504" t="str">
        <f t="shared" si="7"/>
        <v>Spring</v>
      </c>
      <c r="V504" t="str">
        <f>TEXT(mergedcleandataset[[#This Row],[date]],"dddd")</f>
        <v>Sunday</v>
      </c>
      <c r="W50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5" spans="1:23" x14ac:dyDescent="0.25">
      <c r="A505">
        <v>504</v>
      </c>
      <c r="B505" s="1">
        <v>40566</v>
      </c>
      <c r="C505">
        <v>1</v>
      </c>
      <c r="D505" t="str">
        <f>TEXT(mergedcleandataset[[#This Row],[dteday]],"yyyy")</f>
        <v>2011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s="2">
        <f>DATE(mergedcleandataset[[#This Row],[yr]],mergedcleandataset[[#This Row],[mnth]],mergedcleandataset[[#This Row],[day]])</f>
        <v>40566</v>
      </c>
      <c r="R505">
        <f>DAY(mergedcleandataset[[#This Row],[dteday]])</f>
        <v>23</v>
      </c>
      <c r="S505" t="str">
        <f>IF(mergedcleandataset[[#This Row],[weekday]]&gt;=5,"Yes","No")</f>
        <v>No</v>
      </c>
      <c r="T505" t="b">
        <f>ISBLANK(mergedcleandataset[[#This Row],[atemp]])</f>
        <v>0</v>
      </c>
      <c r="U505" t="str">
        <f t="shared" si="7"/>
        <v>Spring</v>
      </c>
      <c r="V505" t="str">
        <f>TEXT(mergedcleandataset[[#This Row],[date]],"dddd")</f>
        <v>Sunday</v>
      </c>
      <c r="W50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6" spans="1:23" x14ac:dyDescent="0.25">
      <c r="A506">
        <v>505</v>
      </c>
      <c r="B506" s="1">
        <v>40566</v>
      </c>
      <c r="C506">
        <v>1</v>
      </c>
      <c r="D506" t="str">
        <f>TEXT(mergedcleandataset[[#This Row],[dteday]],"yyyy")</f>
        <v>2011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s="2">
        <f>DATE(mergedcleandataset[[#This Row],[yr]],mergedcleandataset[[#This Row],[mnth]],mergedcleandataset[[#This Row],[day]])</f>
        <v>40566</v>
      </c>
      <c r="R506">
        <f>DAY(mergedcleandataset[[#This Row],[dteday]])</f>
        <v>23</v>
      </c>
      <c r="S506" t="str">
        <f>IF(mergedcleandataset[[#This Row],[weekday]]&gt;=5,"Yes","No")</f>
        <v>No</v>
      </c>
      <c r="T506" t="b">
        <f>ISBLANK(mergedcleandataset[[#This Row],[atemp]])</f>
        <v>0</v>
      </c>
      <c r="U506" t="str">
        <f t="shared" si="7"/>
        <v>Spring</v>
      </c>
      <c r="V506" t="str">
        <f>TEXT(mergedcleandataset[[#This Row],[date]],"dddd")</f>
        <v>Sunday</v>
      </c>
      <c r="W50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7" spans="1:23" x14ac:dyDescent="0.25">
      <c r="A507">
        <v>506</v>
      </c>
      <c r="B507" s="1">
        <v>40566</v>
      </c>
      <c r="C507">
        <v>1</v>
      </c>
      <c r="D507" t="str">
        <f>TEXT(mergedcleandataset[[#This Row],[dteday]],"yyyy")</f>
        <v>2011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s="2">
        <f>DATE(mergedcleandataset[[#This Row],[yr]],mergedcleandataset[[#This Row],[mnth]],mergedcleandataset[[#This Row],[day]])</f>
        <v>40566</v>
      </c>
      <c r="R507">
        <f>DAY(mergedcleandataset[[#This Row],[dteday]])</f>
        <v>23</v>
      </c>
      <c r="S507" t="str">
        <f>IF(mergedcleandataset[[#This Row],[weekday]]&gt;=5,"Yes","No")</f>
        <v>No</v>
      </c>
      <c r="T507" t="b">
        <f>ISBLANK(mergedcleandataset[[#This Row],[atemp]])</f>
        <v>0</v>
      </c>
      <c r="U507" t="str">
        <f t="shared" si="7"/>
        <v>Spring</v>
      </c>
      <c r="V507" t="str">
        <f>TEXT(mergedcleandataset[[#This Row],[date]],"dddd")</f>
        <v>Sunday</v>
      </c>
      <c r="W50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08" spans="1:23" x14ac:dyDescent="0.25">
      <c r="A508">
        <v>507</v>
      </c>
      <c r="B508" s="1">
        <v>40566</v>
      </c>
      <c r="C508">
        <v>1</v>
      </c>
      <c r="D508" t="str">
        <f>TEXT(mergedcleandataset[[#This Row],[dteday]],"yyyy")</f>
        <v>2011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s="2">
        <f>DATE(mergedcleandataset[[#This Row],[yr]],mergedcleandataset[[#This Row],[mnth]],mergedcleandataset[[#This Row],[day]])</f>
        <v>40566</v>
      </c>
      <c r="R508">
        <f>DAY(mergedcleandataset[[#This Row],[dteday]])</f>
        <v>23</v>
      </c>
      <c r="S508" t="str">
        <f>IF(mergedcleandataset[[#This Row],[weekday]]&gt;=5,"Yes","No")</f>
        <v>No</v>
      </c>
      <c r="T508" t="b">
        <f>ISBLANK(mergedcleandataset[[#This Row],[atemp]])</f>
        <v>0</v>
      </c>
      <c r="U508" t="str">
        <f t="shared" si="7"/>
        <v>Spring</v>
      </c>
      <c r="V508" t="str">
        <f>TEXT(mergedcleandataset[[#This Row],[date]],"dddd")</f>
        <v>Sunday</v>
      </c>
      <c r="W50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09" spans="1:23" x14ac:dyDescent="0.25">
      <c r="A509">
        <v>508</v>
      </c>
      <c r="B509" s="1">
        <v>40566</v>
      </c>
      <c r="C509">
        <v>1</v>
      </c>
      <c r="D509" t="str">
        <f>TEXT(mergedcleandataset[[#This Row],[dteday]],"yyyy")</f>
        <v>2011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s="2">
        <f>DATE(mergedcleandataset[[#This Row],[yr]],mergedcleandataset[[#This Row],[mnth]],mergedcleandataset[[#This Row],[day]])</f>
        <v>40566</v>
      </c>
      <c r="R509">
        <f>DAY(mergedcleandataset[[#This Row],[dteday]])</f>
        <v>23</v>
      </c>
      <c r="S509" t="str">
        <f>IF(mergedcleandataset[[#This Row],[weekday]]&gt;=5,"Yes","No")</f>
        <v>No</v>
      </c>
      <c r="T509" t="b">
        <f>ISBLANK(mergedcleandataset[[#This Row],[atemp]])</f>
        <v>0</v>
      </c>
      <c r="U509" t="str">
        <f t="shared" si="7"/>
        <v>Spring</v>
      </c>
      <c r="V509" t="str">
        <f>TEXT(mergedcleandataset[[#This Row],[date]],"dddd")</f>
        <v>Sunday</v>
      </c>
      <c r="W50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10" spans="1:23" x14ac:dyDescent="0.25">
      <c r="A510">
        <v>509</v>
      </c>
      <c r="B510" s="1">
        <v>40566</v>
      </c>
      <c r="C510">
        <v>1</v>
      </c>
      <c r="D510" t="str">
        <f>TEXT(mergedcleandataset[[#This Row],[dteday]],"yyyy")</f>
        <v>2011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s="2">
        <f>DATE(mergedcleandataset[[#This Row],[yr]],mergedcleandataset[[#This Row],[mnth]],mergedcleandataset[[#This Row],[day]])</f>
        <v>40566</v>
      </c>
      <c r="R510">
        <f>DAY(mergedcleandataset[[#This Row],[dteday]])</f>
        <v>23</v>
      </c>
      <c r="S510" t="str">
        <f>IF(mergedcleandataset[[#This Row],[weekday]]&gt;=5,"Yes","No")</f>
        <v>No</v>
      </c>
      <c r="T510" t="b">
        <f>ISBLANK(mergedcleandataset[[#This Row],[atemp]])</f>
        <v>0</v>
      </c>
      <c r="U510" t="str">
        <f t="shared" si="7"/>
        <v>Spring</v>
      </c>
      <c r="V510" t="str">
        <f>TEXT(mergedcleandataset[[#This Row],[date]],"dddd")</f>
        <v>Sunday</v>
      </c>
      <c r="W5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1" spans="1:23" x14ac:dyDescent="0.25">
      <c r="A511">
        <v>510</v>
      </c>
      <c r="B511" s="1">
        <v>40566</v>
      </c>
      <c r="C511">
        <v>1</v>
      </c>
      <c r="D511" t="str">
        <f>TEXT(mergedcleandataset[[#This Row],[dteday]],"yyyy")</f>
        <v>2011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s="2">
        <f>DATE(mergedcleandataset[[#This Row],[yr]],mergedcleandataset[[#This Row],[mnth]],mergedcleandataset[[#This Row],[day]])</f>
        <v>40566</v>
      </c>
      <c r="R511">
        <f>DAY(mergedcleandataset[[#This Row],[dteday]])</f>
        <v>23</v>
      </c>
      <c r="S511" t="str">
        <f>IF(mergedcleandataset[[#This Row],[weekday]]&gt;=5,"Yes","No")</f>
        <v>No</v>
      </c>
      <c r="T511" t="b">
        <f>ISBLANK(mergedcleandataset[[#This Row],[atemp]])</f>
        <v>0</v>
      </c>
      <c r="U511" t="str">
        <f t="shared" si="7"/>
        <v>Spring</v>
      </c>
      <c r="V511" t="str">
        <f>TEXT(mergedcleandataset[[#This Row],[date]],"dddd")</f>
        <v>Sunday</v>
      </c>
      <c r="W5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2" spans="1:23" x14ac:dyDescent="0.25">
      <c r="A512">
        <v>511</v>
      </c>
      <c r="B512" s="1">
        <v>40566</v>
      </c>
      <c r="C512">
        <v>1</v>
      </c>
      <c r="D512" t="str">
        <f>TEXT(mergedcleandataset[[#This Row],[dteday]],"yyyy")</f>
        <v>2011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s="2">
        <f>DATE(mergedcleandataset[[#This Row],[yr]],mergedcleandataset[[#This Row],[mnth]],mergedcleandataset[[#This Row],[day]])</f>
        <v>40566</v>
      </c>
      <c r="R512">
        <f>DAY(mergedcleandataset[[#This Row],[dteday]])</f>
        <v>23</v>
      </c>
      <c r="S512" t="str">
        <f>IF(mergedcleandataset[[#This Row],[weekday]]&gt;=5,"Yes","No")</f>
        <v>No</v>
      </c>
      <c r="T512" t="b">
        <f>ISBLANK(mergedcleandataset[[#This Row],[atemp]])</f>
        <v>0</v>
      </c>
      <c r="U512" t="str">
        <f t="shared" si="7"/>
        <v>Spring</v>
      </c>
      <c r="V512" t="str">
        <f>TEXT(mergedcleandataset[[#This Row],[date]],"dddd")</f>
        <v>Sunday</v>
      </c>
      <c r="W5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3" spans="1:23" x14ac:dyDescent="0.25">
      <c r="A513">
        <v>512</v>
      </c>
      <c r="B513" s="1">
        <v>40566</v>
      </c>
      <c r="C513">
        <v>1</v>
      </c>
      <c r="D513" t="str">
        <f>TEXT(mergedcleandataset[[#This Row],[dteday]],"yyyy")</f>
        <v>2011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s="2">
        <f>DATE(mergedcleandataset[[#This Row],[yr]],mergedcleandataset[[#This Row],[mnth]],mergedcleandataset[[#This Row],[day]])</f>
        <v>40566</v>
      </c>
      <c r="R513">
        <f>DAY(mergedcleandataset[[#This Row],[dteday]])</f>
        <v>23</v>
      </c>
      <c r="S513" t="str">
        <f>IF(mergedcleandataset[[#This Row],[weekday]]&gt;=5,"Yes","No")</f>
        <v>No</v>
      </c>
      <c r="T513" t="b">
        <f>ISBLANK(mergedcleandataset[[#This Row],[atemp]])</f>
        <v>0</v>
      </c>
      <c r="U513" t="str">
        <f t="shared" si="7"/>
        <v>Spring</v>
      </c>
      <c r="V513" t="str">
        <f>TEXT(mergedcleandataset[[#This Row],[date]],"dddd")</f>
        <v>Sunday</v>
      </c>
      <c r="W5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4" spans="1:23" x14ac:dyDescent="0.25">
      <c r="A514">
        <v>513</v>
      </c>
      <c r="B514" s="1">
        <v>40566</v>
      </c>
      <c r="C514">
        <v>1</v>
      </c>
      <c r="D514" t="str">
        <f>TEXT(mergedcleandataset[[#This Row],[dteday]],"yyyy")</f>
        <v>2011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s="2">
        <f>DATE(mergedcleandataset[[#This Row],[yr]],mergedcleandataset[[#This Row],[mnth]],mergedcleandataset[[#This Row],[day]])</f>
        <v>40566</v>
      </c>
      <c r="R514">
        <f>DAY(mergedcleandataset[[#This Row],[dteday]])</f>
        <v>23</v>
      </c>
      <c r="S514" t="str">
        <f>IF(mergedcleandataset[[#This Row],[weekday]]&gt;=5,"Yes","No")</f>
        <v>No</v>
      </c>
      <c r="T514" t="b">
        <f>ISBLANK(mergedcleandataset[[#This Row],[atemp]])</f>
        <v>0</v>
      </c>
      <c r="U514" t="str">
        <f t="shared" ref="U514:U577" si="8">IF(C514=1,"Spring",
IF(C514=2,"Summer",
IF(C514=3,"Fall",
IF(C514=4,"Winter","Unknown"))))</f>
        <v>Spring</v>
      </c>
      <c r="V514" t="str">
        <f>TEXT(mergedcleandataset[[#This Row],[date]],"dddd")</f>
        <v>Sunday</v>
      </c>
      <c r="W5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5" spans="1:23" x14ac:dyDescent="0.25">
      <c r="A515">
        <v>514</v>
      </c>
      <c r="B515" s="1">
        <v>40566</v>
      </c>
      <c r="C515">
        <v>1</v>
      </c>
      <c r="D515" t="str">
        <f>TEXT(mergedcleandataset[[#This Row],[dteday]],"yyyy")</f>
        <v>2011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s="2">
        <f>DATE(mergedcleandataset[[#This Row],[yr]],mergedcleandataset[[#This Row],[mnth]],mergedcleandataset[[#This Row],[day]])</f>
        <v>40566</v>
      </c>
      <c r="R515">
        <f>DAY(mergedcleandataset[[#This Row],[dteday]])</f>
        <v>23</v>
      </c>
      <c r="S515" t="str">
        <f>IF(mergedcleandataset[[#This Row],[weekday]]&gt;=5,"Yes","No")</f>
        <v>No</v>
      </c>
      <c r="T515" t="b">
        <f>ISBLANK(mergedcleandataset[[#This Row],[atemp]])</f>
        <v>0</v>
      </c>
      <c r="U515" t="str">
        <f t="shared" si="8"/>
        <v>Spring</v>
      </c>
      <c r="V515" t="str">
        <f>TEXT(mergedcleandataset[[#This Row],[date]],"dddd")</f>
        <v>Sunday</v>
      </c>
      <c r="W5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6" spans="1:23" x14ac:dyDescent="0.25">
      <c r="A516">
        <v>515</v>
      </c>
      <c r="B516" s="1">
        <v>40566</v>
      </c>
      <c r="C516">
        <v>1</v>
      </c>
      <c r="D516" t="str">
        <f>TEXT(mergedcleandataset[[#This Row],[dteday]],"yyyy")</f>
        <v>2011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s="2">
        <f>DATE(mergedcleandataset[[#This Row],[yr]],mergedcleandataset[[#This Row],[mnth]],mergedcleandataset[[#This Row],[day]])</f>
        <v>40566</v>
      </c>
      <c r="R516">
        <f>DAY(mergedcleandataset[[#This Row],[dteday]])</f>
        <v>23</v>
      </c>
      <c r="S516" t="str">
        <f>IF(mergedcleandataset[[#This Row],[weekday]]&gt;=5,"Yes","No")</f>
        <v>No</v>
      </c>
      <c r="T516" t="b">
        <f>ISBLANK(mergedcleandataset[[#This Row],[atemp]])</f>
        <v>0</v>
      </c>
      <c r="U516" t="str">
        <f t="shared" si="8"/>
        <v>Spring</v>
      </c>
      <c r="V516" t="str">
        <f>TEXT(mergedcleandataset[[#This Row],[date]],"dddd")</f>
        <v>Sunday</v>
      </c>
      <c r="W5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7" spans="1:23" x14ac:dyDescent="0.25">
      <c r="A517">
        <v>516</v>
      </c>
      <c r="B517" s="1">
        <v>40566</v>
      </c>
      <c r="C517">
        <v>1</v>
      </c>
      <c r="D517" t="str">
        <f>TEXT(mergedcleandataset[[#This Row],[dteday]],"yyyy")</f>
        <v>2011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s="2">
        <f>DATE(mergedcleandataset[[#This Row],[yr]],mergedcleandataset[[#This Row],[mnth]],mergedcleandataset[[#This Row],[day]])</f>
        <v>40566</v>
      </c>
      <c r="R517">
        <f>DAY(mergedcleandataset[[#This Row],[dteday]])</f>
        <v>23</v>
      </c>
      <c r="S517" t="str">
        <f>IF(mergedcleandataset[[#This Row],[weekday]]&gt;=5,"Yes","No")</f>
        <v>No</v>
      </c>
      <c r="T517" t="b">
        <f>ISBLANK(mergedcleandataset[[#This Row],[atemp]])</f>
        <v>0</v>
      </c>
      <c r="U517" t="str">
        <f t="shared" si="8"/>
        <v>Spring</v>
      </c>
      <c r="V517" t="str">
        <f>TEXT(mergedcleandataset[[#This Row],[date]],"dddd")</f>
        <v>Sunday</v>
      </c>
      <c r="W5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8" spans="1:23" x14ac:dyDescent="0.25">
      <c r="A518">
        <v>517</v>
      </c>
      <c r="B518" s="1">
        <v>40566</v>
      </c>
      <c r="C518">
        <v>1</v>
      </c>
      <c r="D518" t="str">
        <f>TEXT(mergedcleandataset[[#This Row],[dteday]],"yyyy")</f>
        <v>2011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s="2">
        <f>DATE(mergedcleandataset[[#This Row],[yr]],mergedcleandataset[[#This Row],[mnth]],mergedcleandataset[[#This Row],[day]])</f>
        <v>40566</v>
      </c>
      <c r="R518">
        <f>DAY(mergedcleandataset[[#This Row],[dteday]])</f>
        <v>23</v>
      </c>
      <c r="S518" t="str">
        <f>IF(mergedcleandataset[[#This Row],[weekday]]&gt;=5,"Yes","No")</f>
        <v>No</v>
      </c>
      <c r="T518" t="b">
        <f>ISBLANK(mergedcleandataset[[#This Row],[atemp]])</f>
        <v>0</v>
      </c>
      <c r="U518" t="str">
        <f t="shared" si="8"/>
        <v>Spring</v>
      </c>
      <c r="V518" t="str">
        <f>TEXT(mergedcleandataset[[#This Row],[date]],"dddd")</f>
        <v>Sunday</v>
      </c>
      <c r="W5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19" spans="1:23" x14ac:dyDescent="0.25">
      <c r="A519">
        <v>518</v>
      </c>
      <c r="B519" s="1">
        <v>40566</v>
      </c>
      <c r="C519">
        <v>1</v>
      </c>
      <c r="D519" t="str">
        <f>TEXT(mergedcleandataset[[#This Row],[dteday]],"yyyy")</f>
        <v>2011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s="2">
        <f>DATE(mergedcleandataset[[#This Row],[yr]],mergedcleandataset[[#This Row],[mnth]],mergedcleandataset[[#This Row],[day]])</f>
        <v>40566</v>
      </c>
      <c r="R519">
        <f>DAY(mergedcleandataset[[#This Row],[dteday]])</f>
        <v>23</v>
      </c>
      <c r="S519" t="str">
        <f>IF(mergedcleandataset[[#This Row],[weekday]]&gt;=5,"Yes","No")</f>
        <v>No</v>
      </c>
      <c r="T519" t="b">
        <f>ISBLANK(mergedcleandataset[[#This Row],[atemp]])</f>
        <v>0</v>
      </c>
      <c r="U519" t="str">
        <f t="shared" si="8"/>
        <v>Spring</v>
      </c>
      <c r="V519" t="str">
        <f>TEXT(mergedcleandataset[[#This Row],[date]],"dddd")</f>
        <v>Sunday</v>
      </c>
      <c r="W5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0" spans="1:23" x14ac:dyDescent="0.25">
      <c r="A520">
        <v>519</v>
      </c>
      <c r="B520" s="1">
        <v>40566</v>
      </c>
      <c r="C520">
        <v>1</v>
      </c>
      <c r="D520" t="str">
        <f>TEXT(mergedcleandataset[[#This Row],[dteday]],"yyyy")</f>
        <v>2011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s="2">
        <f>DATE(mergedcleandataset[[#This Row],[yr]],mergedcleandataset[[#This Row],[mnth]],mergedcleandataset[[#This Row],[day]])</f>
        <v>40566</v>
      </c>
      <c r="R520">
        <f>DAY(mergedcleandataset[[#This Row],[dteday]])</f>
        <v>23</v>
      </c>
      <c r="S520" t="str">
        <f>IF(mergedcleandataset[[#This Row],[weekday]]&gt;=5,"Yes","No")</f>
        <v>No</v>
      </c>
      <c r="T520" t="b">
        <f>ISBLANK(mergedcleandataset[[#This Row],[atemp]])</f>
        <v>0</v>
      </c>
      <c r="U520" t="str">
        <f t="shared" si="8"/>
        <v>Spring</v>
      </c>
      <c r="V520" t="str">
        <f>TEXT(mergedcleandataset[[#This Row],[date]],"dddd")</f>
        <v>Sunday</v>
      </c>
      <c r="W52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1" spans="1:23" x14ac:dyDescent="0.25">
      <c r="A521">
        <v>520</v>
      </c>
      <c r="B521" s="1">
        <v>40566</v>
      </c>
      <c r="C521">
        <v>1</v>
      </c>
      <c r="D521" t="str">
        <f>TEXT(mergedcleandataset[[#This Row],[dteday]],"yyyy")</f>
        <v>2011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s="2">
        <f>DATE(mergedcleandataset[[#This Row],[yr]],mergedcleandataset[[#This Row],[mnth]],mergedcleandataset[[#This Row],[day]])</f>
        <v>40566</v>
      </c>
      <c r="R521">
        <f>DAY(mergedcleandataset[[#This Row],[dteday]])</f>
        <v>23</v>
      </c>
      <c r="S521" t="str">
        <f>IF(mergedcleandataset[[#This Row],[weekday]]&gt;=5,"Yes","No")</f>
        <v>No</v>
      </c>
      <c r="T521" t="b">
        <f>ISBLANK(mergedcleandataset[[#This Row],[atemp]])</f>
        <v>0</v>
      </c>
      <c r="U521" t="str">
        <f t="shared" si="8"/>
        <v>Spring</v>
      </c>
      <c r="V521" t="str">
        <f>TEXT(mergedcleandataset[[#This Row],[date]],"dddd")</f>
        <v>Sunday</v>
      </c>
      <c r="W52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2" spans="1:23" x14ac:dyDescent="0.25">
      <c r="A522">
        <v>521</v>
      </c>
      <c r="B522" s="1">
        <v>40566</v>
      </c>
      <c r="C522">
        <v>1</v>
      </c>
      <c r="D522" t="str">
        <f>TEXT(mergedcleandataset[[#This Row],[dteday]],"yyyy")</f>
        <v>2011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s="2">
        <f>DATE(mergedcleandataset[[#This Row],[yr]],mergedcleandataset[[#This Row],[mnth]],mergedcleandataset[[#This Row],[day]])</f>
        <v>40566</v>
      </c>
      <c r="R522">
        <f>DAY(mergedcleandataset[[#This Row],[dteday]])</f>
        <v>23</v>
      </c>
      <c r="S522" t="str">
        <f>IF(mergedcleandataset[[#This Row],[weekday]]&gt;=5,"Yes","No")</f>
        <v>No</v>
      </c>
      <c r="T522" t="b">
        <f>ISBLANK(mergedcleandataset[[#This Row],[atemp]])</f>
        <v>0</v>
      </c>
      <c r="U522" t="str">
        <f t="shared" si="8"/>
        <v>Spring</v>
      </c>
      <c r="V522" t="str">
        <f>TEXT(mergedcleandataset[[#This Row],[date]],"dddd")</f>
        <v>Sunday</v>
      </c>
      <c r="W52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3" spans="1:23" x14ac:dyDescent="0.25">
      <c r="A523">
        <v>522</v>
      </c>
      <c r="B523" s="1">
        <v>40566</v>
      </c>
      <c r="C523">
        <v>1</v>
      </c>
      <c r="D523" t="str">
        <f>TEXT(mergedcleandataset[[#This Row],[dteday]],"yyyy")</f>
        <v>2011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s="2">
        <f>DATE(mergedcleandataset[[#This Row],[yr]],mergedcleandataset[[#This Row],[mnth]],mergedcleandataset[[#This Row],[day]])</f>
        <v>40566</v>
      </c>
      <c r="R523">
        <f>DAY(mergedcleandataset[[#This Row],[dteday]])</f>
        <v>23</v>
      </c>
      <c r="S523" t="str">
        <f>IF(mergedcleandataset[[#This Row],[weekday]]&gt;=5,"Yes","No")</f>
        <v>No</v>
      </c>
      <c r="T523" t="b">
        <f>ISBLANK(mergedcleandataset[[#This Row],[atemp]])</f>
        <v>0</v>
      </c>
      <c r="U523" t="str">
        <f t="shared" si="8"/>
        <v>Spring</v>
      </c>
      <c r="V523" t="str">
        <f>TEXT(mergedcleandataset[[#This Row],[date]],"dddd")</f>
        <v>Sunday</v>
      </c>
      <c r="W52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4" spans="1:23" x14ac:dyDescent="0.25">
      <c r="A524">
        <v>523</v>
      </c>
      <c r="B524" s="1">
        <v>40566</v>
      </c>
      <c r="C524">
        <v>1</v>
      </c>
      <c r="D524" t="str">
        <f>TEXT(mergedcleandataset[[#This Row],[dteday]],"yyyy")</f>
        <v>2011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s="2">
        <f>DATE(mergedcleandataset[[#This Row],[yr]],mergedcleandataset[[#This Row],[mnth]],mergedcleandataset[[#This Row],[day]])</f>
        <v>40566</v>
      </c>
      <c r="R524">
        <f>DAY(mergedcleandataset[[#This Row],[dteday]])</f>
        <v>23</v>
      </c>
      <c r="S524" t="str">
        <f>IF(mergedcleandataset[[#This Row],[weekday]]&gt;=5,"Yes","No")</f>
        <v>No</v>
      </c>
      <c r="T524" t="b">
        <f>ISBLANK(mergedcleandataset[[#This Row],[atemp]])</f>
        <v>0</v>
      </c>
      <c r="U524" t="str">
        <f t="shared" si="8"/>
        <v>Spring</v>
      </c>
      <c r="V524" t="str">
        <f>TEXT(mergedcleandataset[[#This Row],[date]],"dddd")</f>
        <v>Sunday</v>
      </c>
      <c r="W52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5" spans="1:23" x14ac:dyDescent="0.25">
      <c r="A525">
        <v>524</v>
      </c>
      <c r="B525" s="1">
        <v>40566</v>
      </c>
      <c r="C525">
        <v>1</v>
      </c>
      <c r="D525" t="str">
        <f>TEXT(mergedcleandataset[[#This Row],[dteday]],"yyyy")</f>
        <v>2011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s="2">
        <f>DATE(mergedcleandataset[[#This Row],[yr]],mergedcleandataset[[#This Row],[mnth]],mergedcleandataset[[#This Row],[day]])</f>
        <v>40566</v>
      </c>
      <c r="R525">
        <f>DAY(mergedcleandataset[[#This Row],[dteday]])</f>
        <v>23</v>
      </c>
      <c r="S525" t="str">
        <f>IF(mergedcleandataset[[#This Row],[weekday]]&gt;=5,"Yes","No")</f>
        <v>No</v>
      </c>
      <c r="T525" t="b">
        <f>ISBLANK(mergedcleandataset[[#This Row],[atemp]])</f>
        <v>0</v>
      </c>
      <c r="U525" t="str">
        <f t="shared" si="8"/>
        <v>Spring</v>
      </c>
      <c r="V525" t="str">
        <f>TEXT(mergedcleandataset[[#This Row],[date]],"dddd")</f>
        <v>Sunday</v>
      </c>
      <c r="W52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6" spans="1:23" x14ac:dyDescent="0.25">
      <c r="A526">
        <v>525</v>
      </c>
      <c r="B526" s="1">
        <v>40566</v>
      </c>
      <c r="C526">
        <v>1</v>
      </c>
      <c r="D526" t="str">
        <f>TEXT(mergedcleandataset[[#This Row],[dteday]],"yyyy")</f>
        <v>2011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s="2">
        <f>DATE(mergedcleandataset[[#This Row],[yr]],mergedcleandataset[[#This Row],[mnth]],mergedcleandataset[[#This Row],[day]])</f>
        <v>40566</v>
      </c>
      <c r="R526">
        <f>DAY(mergedcleandataset[[#This Row],[dteday]])</f>
        <v>23</v>
      </c>
      <c r="S526" t="str">
        <f>IF(mergedcleandataset[[#This Row],[weekday]]&gt;=5,"Yes","No")</f>
        <v>No</v>
      </c>
      <c r="T526" t="b">
        <f>ISBLANK(mergedcleandataset[[#This Row],[atemp]])</f>
        <v>0</v>
      </c>
      <c r="U526" t="str">
        <f t="shared" si="8"/>
        <v>Spring</v>
      </c>
      <c r="V526" t="str">
        <f>TEXT(mergedcleandataset[[#This Row],[date]],"dddd")</f>
        <v>Sunday</v>
      </c>
      <c r="W5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7" spans="1:23" x14ac:dyDescent="0.25">
      <c r="A527">
        <v>526</v>
      </c>
      <c r="B527" s="1">
        <v>40567</v>
      </c>
      <c r="C527">
        <v>1</v>
      </c>
      <c r="D527" t="str">
        <f>TEXT(mergedcleandataset[[#This Row],[dteday]],"yyyy")</f>
        <v>2011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s="2">
        <f>DATE(mergedcleandataset[[#This Row],[yr]],mergedcleandataset[[#This Row],[mnth]],mergedcleandataset[[#This Row],[day]])</f>
        <v>40567</v>
      </c>
      <c r="R527">
        <f>DAY(mergedcleandataset[[#This Row],[dteday]])</f>
        <v>24</v>
      </c>
      <c r="S527" t="str">
        <f>IF(mergedcleandataset[[#This Row],[weekday]]&gt;=5,"Yes","No")</f>
        <v>No</v>
      </c>
      <c r="T527" t="b">
        <f>ISBLANK(mergedcleandataset[[#This Row],[atemp]])</f>
        <v>0</v>
      </c>
      <c r="U527" t="str">
        <f t="shared" si="8"/>
        <v>Spring</v>
      </c>
      <c r="V527" t="str">
        <f>TEXT(mergedcleandataset[[#This Row],[date]],"dddd")</f>
        <v>Monday</v>
      </c>
      <c r="W5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8" spans="1:23" x14ac:dyDescent="0.25">
      <c r="A528">
        <v>527</v>
      </c>
      <c r="B528" s="1">
        <v>40567</v>
      </c>
      <c r="C528">
        <v>1</v>
      </c>
      <c r="D528" t="str">
        <f>TEXT(mergedcleandataset[[#This Row],[dteday]],"yyyy")</f>
        <v>2011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s="2">
        <f>DATE(mergedcleandataset[[#This Row],[yr]],mergedcleandataset[[#This Row],[mnth]],mergedcleandataset[[#This Row],[day]])</f>
        <v>40567</v>
      </c>
      <c r="R528">
        <f>DAY(mergedcleandataset[[#This Row],[dteday]])</f>
        <v>24</v>
      </c>
      <c r="S528" t="str">
        <f>IF(mergedcleandataset[[#This Row],[weekday]]&gt;=5,"Yes","No")</f>
        <v>No</v>
      </c>
      <c r="T528" t="b">
        <f>ISBLANK(mergedcleandataset[[#This Row],[atemp]])</f>
        <v>0</v>
      </c>
      <c r="U528" t="str">
        <f t="shared" si="8"/>
        <v>Spring</v>
      </c>
      <c r="V528" t="str">
        <f>TEXT(mergedcleandataset[[#This Row],[date]],"dddd")</f>
        <v>Monday</v>
      </c>
      <c r="W5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29" spans="1:23" x14ac:dyDescent="0.25">
      <c r="A529">
        <v>528</v>
      </c>
      <c r="B529" s="1">
        <v>40567</v>
      </c>
      <c r="C529">
        <v>1</v>
      </c>
      <c r="D529" t="str">
        <f>TEXT(mergedcleandataset[[#This Row],[dteday]],"yyyy")</f>
        <v>2011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s="2">
        <f>DATE(mergedcleandataset[[#This Row],[yr]],mergedcleandataset[[#This Row],[mnth]],mergedcleandataset[[#This Row],[day]])</f>
        <v>40567</v>
      </c>
      <c r="R529">
        <f>DAY(mergedcleandataset[[#This Row],[dteday]])</f>
        <v>24</v>
      </c>
      <c r="S529" t="str">
        <f>IF(mergedcleandataset[[#This Row],[weekday]]&gt;=5,"Yes","No")</f>
        <v>No</v>
      </c>
      <c r="T529" t="b">
        <f>ISBLANK(mergedcleandataset[[#This Row],[atemp]])</f>
        <v>0</v>
      </c>
      <c r="U529" t="str">
        <f t="shared" si="8"/>
        <v>Spring</v>
      </c>
      <c r="V529" t="str">
        <f>TEXT(mergedcleandataset[[#This Row],[date]],"dddd")</f>
        <v>Monday</v>
      </c>
      <c r="W5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0" spans="1:23" x14ac:dyDescent="0.25">
      <c r="A530">
        <v>529</v>
      </c>
      <c r="B530" s="1">
        <v>40567</v>
      </c>
      <c r="C530">
        <v>1</v>
      </c>
      <c r="D530" t="str">
        <f>TEXT(mergedcleandataset[[#This Row],[dteday]],"yyyy")</f>
        <v>2011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s="2">
        <f>DATE(mergedcleandataset[[#This Row],[yr]],mergedcleandataset[[#This Row],[mnth]],mergedcleandataset[[#This Row],[day]])</f>
        <v>40567</v>
      </c>
      <c r="R530">
        <f>DAY(mergedcleandataset[[#This Row],[dteday]])</f>
        <v>24</v>
      </c>
      <c r="S530" t="str">
        <f>IF(mergedcleandataset[[#This Row],[weekday]]&gt;=5,"Yes","No")</f>
        <v>No</v>
      </c>
      <c r="T530" t="b">
        <f>ISBLANK(mergedcleandataset[[#This Row],[atemp]])</f>
        <v>0</v>
      </c>
      <c r="U530" t="str">
        <f t="shared" si="8"/>
        <v>Spring</v>
      </c>
      <c r="V530" t="str">
        <f>TEXT(mergedcleandataset[[#This Row],[date]],"dddd")</f>
        <v>Monday</v>
      </c>
      <c r="W5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1" spans="1:23" x14ac:dyDescent="0.25">
      <c r="A531">
        <v>530</v>
      </c>
      <c r="B531" s="1">
        <v>40567</v>
      </c>
      <c r="C531">
        <v>1</v>
      </c>
      <c r="D531" t="str">
        <f>TEXT(mergedcleandataset[[#This Row],[dteday]],"yyyy")</f>
        <v>2011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s="2">
        <f>DATE(mergedcleandataset[[#This Row],[yr]],mergedcleandataset[[#This Row],[mnth]],mergedcleandataset[[#This Row],[day]])</f>
        <v>40567</v>
      </c>
      <c r="R531">
        <f>DAY(mergedcleandataset[[#This Row],[dteday]])</f>
        <v>24</v>
      </c>
      <c r="S531" t="str">
        <f>IF(mergedcleandataset[[#This Row],[weekday]]&gt;=5,"Yes","No")</f>
        <v>No</v>
      </c>
      <c r="T531" t="b">
        <f>ISBLANK(mergedcleandataset[[#This Row],[atemp]])</f>
        <v>0</v>
      </c>
      <c r="U531" t="str">
        <f t="shared" si="8"/>
        <v>Spring</v>
      </c>
      <c r="V531" t="str">
        <f>TEXT(mergedcleandataset[[#This Row],[date]],"dddd")</f>
        <v>Monday</v>
      </c>
      <c r="W5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2" spans="1:23" x14ac:dyDescent="0.25">
      <c r="A532">
        <v>531</v>
      </c>
      <c r="B532" s="1">
        <v>40567</v>
      </c>
      <c r="C532">
        <v>1</v>
      </c>
      <c r="D532" t="str">
        <f>TEXT(mergedcleandataset[[#This Row],[dteday]],"yyyy")</f>
        <v>2011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s="2">
        <f>DATE(mergedcleandataset[[#This Row],[yr]],mergedcleandataset[[#This Row],[mnth]],mergedcleandataset[[#This Row],[day]])</f>
        <v>40567</v>
      </c>
      <c r="R532">
        <f>DAY(mergedcleandataset[[#This Row],[dteday]])</f>
        <v>24</v>
      </c>
      <c r="S532" t="str">
        <f>IF(mergedcleandataset[[#This Row],[weekday]]&gt;=5,"Yes","No")</f>
        <v>No</v>
      </c>
      <c r="T532" t="b">
        <f>ISBLANK(mergedcleandataset[[#This Row],[atemp]])</f>
        <v>0</v>
      </c>
      <c r="U532" t="str">
        <f t="shared" si="8"/>
        <v>Spring</v>
      </c>
      <c r="V532" t="str">
        <f>TEXT(mergedcleandataset[[#This Row],[date]],"dddd")</f>
        <v>Monday</v>
      </c>
      <c r="W5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3" spans="1:23" x14ac:dyDescent="0.25">
      <c r="A533">
        <v>532</v>
      </c>
      <c r="B533" s="1">
        <v>40567</v>
      </c>
      <c r="C533">
        <v>1</v>
      </c>
      <c r="D533" t="str">
        <f>TEXT(mergedcleandataset[[#This Row],[dteday]],"yyyy")</f>
        <v>2011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s="2">
        <f>DATE(mergedcleandataset[[#This Row],[yr]],mergedcleandataset[[#This Row],[mnth]],mergedcleandataset[[#This Row],[day]])</f>
        <v>40567</v>
      </c>
      <c r="R533">
        <f>DAY(mergedcleandataset[[#This Row],[dteday]])</f>
        <v>24</v>
      </c>
      <c r="S533" t="str">
        <f>IF(mergedcleandataset[[#This Row],[weekday]]&gt;=5,"Yes","No")</f>
        <v>No</v>
      </c>
      <c r="T533" t="b">
        <f>ISBLANK(mergedcleandataset[[#This Row],[atemp]])</f>
        <v>0</v>
      </c>
      <c r="U533" t="str">
        <f t="shared" si="8"/>
        <v>Spring</v>
      </c>
      <c r="V533" t="str">
        <f>TEXT(mergedcleandataset[[#This Row],[date]],"dddd")</f>
        <v>Monday</v>
      </c>
      <c r="W5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4" spans="1:23" x14ac:dyDescent="0.25">
      <c r="A534">
        <v>533</v>
      </c>
      <c r="B534" s="1">
        <v>40567</v>
      </c>
      <c r="C534">
        <v>1</v>
      </c>
      <c r="D534" t="str">
        <f>TEXT(mergedcleandataset[[#This Row],[dteday]],"yyyy")</f>
        <v>2011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s="2">
        <f>DATE(mergedcleandataset[[#This Row],[yr]],mergedcleandataset[[#This Row],[mnth]],mergedcleandataset[[#This Row],[day]])</f>
        <v>40567</v>
      </c>
      <c r="R534">
        <f>DAY(mergedcleandataset[[#This Row],[dteday]])</f>
        <v>24</v>
      </c>
      <c r="S534" t="str">
        <f>IF(mergedcleandataset[[#This Row],[weekday]]&gt;=5,"Yes","No")</f>
        <v>No</v>
      </c>
      <c r="T534" t="b">
        <f>ISBLANK(mergedcleandataset[[#This Row],[atemp]])</f>
        <v>0</v>
      </c>
      <c r="U534" t="str">
        <f t="shared" si="8"/>
        <v>Spring</v>
      </c>
      <c r="V534" t="str">
        <f>TEXT(mergedcleandataset[[#This Row],[date]],"dddd")</f>
        <v>Monday</v>
      </c>
      <c r="W5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5" spans="1:23" x14ac:dyDescent="0.25">
      <c r="A535">
        <v>534</v>
      </c>
      <c r="B535" s="1">
        <v>40567</v>
      </c>
      <c r="C535">
        <v>1</v>
      </c>
      <c r="D535" t="str">
        <f>TEXT(mergedcleandataset[[#This Row],[dteday]],"yyyy")</f>
        <v>2011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s="2">
        <f>DATE(mergedcleandataset[[#This Row],[yr]],mergedcleandataset[[#This Row],[mnth]],mergedcleandataset[[#This Row],[day]])</f>
        <v>40567</v>
      </c>
      <c r="R535">
        <f>DAY(mergedcleandataset[[#This Row],[dteday]])</f>
        <v>24</v>
      </c>
      <c r="S535" t="str">
        <f>IF(mergedcleandataset[[#This Row],[weekday]]&gt;=5,"Yes","No")</f>
        <v>No</v>
      </c>
      <c r="T535" t="b">
        <f>ISBLANK(mergedcleandataset[[#This Row],[atemp]])</f>
        <v>0</v>
      </c>
      <c r="U535" t="str">
        <f t="shared" si="8"/>
        <v>Spring</v>
      </c>
      <c r="V535" t="str">
        <f>TEXT(mergedcleandataset[[#This Row],[date]],"dddd")</f>
        <v>Monday</v>
      </c>
      <c r="W5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6" spans="1:23" x14ac:dyDescent="0.25">
      <c r="A536">
        <v>535</v>
      </c>
      <c r="B536" s="1">
        <v>40567</v>
      </c>
      <c r="C536">
        <v>1</v>
      </c>
      <c r="D536" t="str">
        <f>TEXT(mergedcleandataset[[#This Row],[dteday]],"yyyy")</f>
        <v>2011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s="2">
        <f>DATE(mergedcleandataset[[#This Row],[yr]],mergedcleandataset[[#This Row],[mnth]],mergedcleandataset[[#This Row],[day]])</f>
        <v>40567</v>
      </c>
      <c r="R536">
        <f>DAY(mergedcleandataset[[#This Row],[dteday]])</f>
        <v>24</v>
      </c>
      <c r="S536" t="str">
        <f>IF(mergedcleandataset[[#This Row],[weekday]]&gt;=5,"Yes","No")</f>
        <v>No</v>
      </c>
      <c r="T536" t="b">
        <f>ISBLANK(mergedcleandataset[[#This Row],[atemp]])</f>
        <v>0</v>
      </c>
      <c r="U536" t="str">
        <f t="shared" si="8"/>
        <v>Spring</v>
      </c>
      <c r="V536" t="str">
        <f>TEXT(mergedcleandataset[[#This Row],[date]],"dddd")</f>
        <v>Monday</v>
      </c>
      <c r="W5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7" spans="1:23" x14ac:dyDescent="0.25">
      <c r="A537">
        <v>536</v>
      </c>
      <c r="B537" s="1">
        <v>40567</v>
      </c>
      <c r="C537">
        <v>1</v>
      </c>
      <c r="D537" t="str">
        <f>TEXT(mergedcleandataset[[#This Row],[dteday]],"yyyy")</f>
        <v>2011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s="2">
        <f>DATE(mergedcleandataset[[#This Row],[yr]],mergedcleandataset[[#This Row],[mnth]],mergedcleandataset[[#This Row],[day]])</f>
        <v>40567</v>
      </c>
      <c r="R537">
        <f>DAY(mergedcleandataset[[#This Row],[dteday]])</f>
        <v>24</v>
      </c>
      <c r="S537" t="str">
        <f>IF(mergedcleandataset[[#This Row],[weekday]]&gt;=5,"Yes","No")</f>
        <v>No</v>
      </c>
      <c r="T537" t="b">
        <f>ISBLANK(mergedcleandataset[[#This Row],[atemp]])</f>
        <v>0</v>
      </c>
      <c r="U537" t="str">
        <f t="shared" si="8"/>
        <v>Spring</v>
      </c>
      <c r="V537" t="str">
        <f>TEXT(mergedcleandataset[[#This Row],[date]],"dddd")</f>
        <v>Monday</v>
      </c>
      <c r="W53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38" spans="1:23" x14ac:dyDescent="0.25">
      <c r="A538">
        <v>537</v>
      </c>
      <c r="B538" s="1">
        <v>40567</v>
      </c>
      <c r="C538">
        <v>1</v>
      </c>
      <c r="D538" t="str">
        <f>TEXT(mergedcleandataset[[#This Row],[dteday]],"yyyy")</f>
        <v>2011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s="2">
        <f>DATE(mergedcleandataset[[#This Row],[yr]],mergedcleandataset[[#This Row],[mnth]],mergedcleandataset[[#This Row],[day]])</f>
        <v>40567</v>
      </c>
      <c r="R538">
        <f>DAY(mergedcleandataset[[#This Row],[dteday]])</f>
        <v>24</v>
      </c>
      <c r="S538" t="str">
        <f>IF(mergedcleandataset[[#This Row],[weekday]]&gt;=5,"Yes","No")</f>
        <v>No</v>
      </c>
      <c r="T538" t="b">
        <f>ISBLANK(mergedcleandataset[[#This Row],[atemp]])</f>
        <v>0</v>
      </c>
      <c r="U538" t="str">
        <f t="shared" si="8"/>
        <v>Spring</v>
      </c>
      <c r="V538" t="str">
        <f>TEXT(mergedcleandataset[[#This Row],[date]],"dddd")</f>
        <v>Monday</v>
      </c>
      <c r="W53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39" spans="1:23" x14ac:dyDescent="0.25">
      <c r="A539">
        <v>538</v>
      </c>
      <c r="B539" s="1">
        <v>40567</v>
      </c>
      <c r="C539">
        <v>1</v>
      </c>
      <c r="D539" t="str">
        <f>TEXT(mergedcleandataset[[#This Row],[dteday]],"yyyy")</f>
        <v>2011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s="2">
        <f>DATE(mergedcleandataset[[#This Row],[yr]],mergedcleandataset[[#This Row],[mnth]],mergedcleandataset[[#This Row],[day]])</f>
        <v>40567</v>
      </c>
      <c r="R539">
        <f>DAY(mergedcleandataset[[#This Row],[dteday]])</f>
        <v>24</v>
      </c>
      <c r="S539" t="str">
        <f>IF(mergedcleandataset[[#This Row],[weekday]]&gt;=5,"Yes","No")</f>
        <v>No</v>
      </c>
      <c r="T539" t="b">
        <f>ISBLANK(mergedcleandataset[[#This Row],[atemp]])</f>
        <v>0</v>
      </c>
      <c r="U539" t="str">
        <f t="shared" si="8"/>
        <v>Spring</v>
      </c>
      <c r="V539" t="str">
        <f>TEXT(mergedcleandataset[[#This Row],[date]],"dddd")</f>
        <v>Monday</v>
      </c>
      <c r="W53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40" spans="1:23" x14ac:dyDescent="0.25">
      <c r="A540">
        <v>539</v>
      </c>
      <c r="B540" s="1">
        <v>40567</v>
      </c>
      <c r="C540">
        <v>1</v>
      </c>
      <c r="D540" t="str">
        <f>TEXT(mergedcleandataset[[#This Row],[dteday]],"yyyy")</f>
        <v>2011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s="2">
        <f>DATE(mergedcleandataset[[#This Row],[yr]],mergedcleandataset[[#This Row],[mnth]],mergedcleandataset[[#This Row],[day]])</f>
        <v>40567</v>
      </c>
      <c r="R540">
        <f>DAY(mergedcleandataset[[#This Row],[dteday]])</f>
        <v>24</v>
      </c>
      <c r="S540" t="str">
        <f>IF(mergedcleandataset[[#This Row],[weekday]]&gt;=5,"Yes","No")</f>
        <v>No</v>
      </c>
      <c r="T540" t="b">
        <f>ISBLANK(mergedcleandataset[[#This Row],[atemp]])</f>
        <v>0</v>
      </c>
      <c r="U540" t="str">
        <f t="shared" si="8"/>
        <v>Spring</v>
      </c>
      <c r="V540" t="str">
        <f>TEXT(mergedcleandataset[[#This Row],[date]],"dddd")</f>
        <v>Monday</v>
      </c>
      <c r="W54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41" spans="1:23" x14ac:dyDescent="0.25">
      <c r="A541">
        <v>540</v>
      </c>
      <c r="B541" s="1">
        <v>40567</v>
      </c>
      <c r="C541">
        <v>1</v>
      </c>
      <c r="D541" t="str">
        <f>TEXT(mergedcleandataset[[#This Row],[dteday]],"yyyy")</f>
        <v>2011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s="2">
        <f>DATE(mergedcleandataset[[#This Row],[yr]],mergedcleandataset[[#This Row],[mnth]],mergedcleandataset[[#This Row],[day]])</f>
        <v>40567</v>
      </c>
      <c r="R541">
        <f>DAY(mergedcleandataset[[#This Row],[dteday]])</f>
        <v>24</v>
      </c>
      <c r="S541" t="str">
        <f>IF(mergedcleandataset[[#This Row],[weekday]]&gt;=5,"Yes","No")</f>
        <v>No</v>
      </c>
      <c r="T541" t="b">
        <f>ISBLANK(mergedcleandataset[[#This Row],[atemp]])</f>
        <v>0</v>
      </c>
      <c r="U541" t="str">
        <f t="shared" si="8"/>
        <v>Spring</v>
      </c>
      <c r="V541" t="str">
        <f>TEXT(mergedcleandataset[[#This Row],[date]],"dddd")</f>
        <v>Monday</v>
      </c>
      <c r="W54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2" spans="1:23" x14ac:dyDescent="0.25">
      <c r="A542">
        <v>541</v>
      </c>
      <c r="B542" s="1">
        <v>40567</v>
      </c>
      <c r="C542">
        <v>1</v>
      </c>
      <c r="D542" t="str">
        <f>TEXT(mergedcleandataset[[#This Row],[dteday]],"yyyy")</f>
        <v>2011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s="2">
        <f>DATE(mergedcleandataset[[#This Row],[yr]],mergedcleandataset[[#This Row],[mnth]],mergedcleandataset[[#This Row],[day]])</f>
        <v>40567</v>
      </c>
      <c r="R542">
        <f>DAY(mergedcleandataset[[#This Row],[dteday]])</f>
        <v>24</v>
      </c>
      <c r="S542" t="str">
        <f>IF(mergedcleandataset[[#This Row],[weekday]]&gt;=5,"Yes","No")</f>
        <v>No</v>
      </c>
      <c r="T542" t="b">
        <f>ISBLANK(mergedcleandataset[[#This Row],[atemp]])</f>
        <v>0</v>
      </c>
      <c r="U542" t="str">
        <f t="shared" si="8"/>
        <v>Spring</v>
      </c>
      <c r="V542" t="str">
        <f>TEXT(mergedcleandataset[[#This Row],[date]],"dddd")</f>
        <v>Monday</v>
      </c>
      <c r="W54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3" spans="1:23" x14ac:dyDescent="0.25">
      <c r="A543">
        <v>542</v>
      </c>
      <c r="B543" s="1">
        <v>40567</v>
      </c>
      <c r="C543">
        <v>1</v>
      </c>
      <c r="D543" t="str">
        <f>TEXT(mergedcleandataset[[#This Row],[dteday]],"yyyy")</f>
        <v>2011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s="2">
        <f>DATE(mergedcleandataset[[#This Row],[yr]],mergedcleandataset[[#This Row],[mnth]],mergedcleandataset[[#This Row],[day]])</f>
        <v>40567</v>
      </c>
      <c r="R543">
        <f>DAY(mergedcleandataset[[#This Row],[dteday]])</f>
        <v>24</v>
      </c>
      <c r="S543" t="str">
        <f>IF(mergedcleandataset[[#This Row],[weekday]]&gt;=5,"Yes","No")</f>
        <v>No</v>
      </c>
      <c r="T543" t="b">
        <f>ISBLANK(mergedcleandataset[[#This Row],[atemp]])</f>
        <v>0</v>
      </c>
      <c r="U543" t="str">
        <f t="shared" si="8"/>
        <v>Spring</v>
      </c>
      <c r="V543" t="str">
        <f>TEXT(mergedcleandataset[[#This Row],[date]],"dddd")</f>
        <v>Monday</v>
      </c>
      <c r="W54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4" spans="1:23" x14ac:dyDescent="0.25">
      <c r="A544">
        <v>543</v>
      </c>
      <c r="B544" s="1">
        <v>40567</v>
      </c>
      <c r="C544">
        <v>1</v>
      </c>
      <c r="D544" t="str">
        <f>TEXT(mergedcleandataset[[#This Row],[dteday]],"yyyy")</f>
        <v>2011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s="2">
        <f>DATE(mergedcleandataset[[#This Row],[yr]],mergedcleandataset[[#This Row],[mnth]],mergedcleandataset[[#This Row],[day]])</f>
        <v>40567</v>
      </c>
      <c r="R544">
        <f>DAY(mergedcleandataset[[#This Row],[dteday]])</f>
        <v>24</v>
      </c>
      <c r="S544" t="str">
        <f>IF(mergedcleandataset[[#This Row],[weekday]]&gt;=5,"Yes","No")</f>
        <v>No</v>
      </c>
      <c r="T544" t="b">
        <f>ISBLANK(mergedcleandataset[[#This Row],[atemp]])</f>
        <v>0</v>
      </c>
      <c r="U544" t="str">
        <f t="shared" si="8"/>
        <v>Spring</v>
      </c>
      <c r="V544" t="str">
        <f>TEXT(mergedcleandataset[[#This Row],[date]],"dddd")</f>
        <v>Monday</v>
      </c>
      <c r="W54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5" spans="1:23" x14ac:dyDescent="0.25">
      <c r="A545">
        <v>544</v>
      </c>
      <c r="B545" s="1">
        <v>40567</v>
      </c>
      <c r="C545">
        <v>1</v>
      </c>
      <c r="D545" t="str">
        <f>TEXT(mergedcleandataset[[#This Row],[dteday]],"yyyy")</f>
        <v>2011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s="2">
        <f>DATE(mergedcleandataset[[#This Row],[yr]],mergedcleandataset[[#This Row],[mnth]],mergedcleandataset[[#This Row],[day]])</f>
        <v>40567</v>
      </c>
      <c r="R545">
        <f>DAY(mergedcleandataset[[#This Row],[dteday]])</f>
        <v>24</v>
      </c>
      <c r="S545" t="str">
        <f>IF(mergedcleandataset[[#This Row],[weekday]]&gt;=5,"Yes","No")</f>
        <v>No</v>
      </c>
      <c r="T545" t="b">
        <f>ISBLANK(mergedcleandataset[[#This Row],[atemp]])</f>
        <v>0</v>
      </c>
      <c r="U545" t="str">
        <f t="shared" si="8"/>
        <v>Spring</v>
      </c>
      <c r="V545" t="str">
        <f>TEXT(mergedcleandataset[[#This Row],[date]],"dddd")</f>
        <v>Monday</v>
      </c>
      <c r="W54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6" spans="1:23" x14ac:dyDescent="0.25">
      <c r="A546">
        <v>545</v>
      </c>
      <c r="B546" s="1">
        <v>40567</v>
      </c>
      <c r="C546">
        <v>1</v>
      </c>
      <c r="D546" t="str">
        <f>TEXT(mergedcleandataset[[#This Row],[dteday]],"yyyy")</f>
        <v>2011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s="2">
        <f>DATE(mergedcleandataset[[#This Row],[yr]],mergedcleandataset[[#This Row],[mnth]],mergedcleandataset[[#This Row],[day]])</f>
        <v>40567</v>
      </c>
      <c r="R546">
        <f>DAY(mergedcleandataset[[#This Row],[dteday]])</f>
        <v>24</v>
      </c>
      <c r="S546" t="str">
        <f>IF(mergedcleandataset[[#This Row],[weekday]]&gt;=5,"Yes","No")</f>
        <v>No</v>
      </c>
      <c r="T546" t="b">
        <f>ISBLANK(mergedcleandataset[[#This Row],[atemp]])</f>
        <v>0</v>
      </c>
      <c r="U546" t="str">
        <f t="shared" si="8"/>
        <v>Spring</v>
      </c>
      <c r="V546" t="str">
        <f>TEXT(mergedcleandataset[[#This Row],[date]],"dddd")</f>
        <v>Monday</v>
      </c>
      <c r="W54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7" spans="1:23" x14ac:dyDescent="0.25">
      <c r="A547">
        <v>546</v>
      </c>
      <c r="B547" s="1">
        <v>40567</v>
      </c>
      <c r="C547">
        <v>1</v>
      </c>
      <c r="D547" t="str">
        <f>TEXT(mergedcleandataset[[#This Row],[dteday]],"yyyy")</f>
        <v>2011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s="2">
        <f>DATE(mergedcleandataset[[#This Row],[yr]],mergedcleandataset[[#This Row],[mnth]],mergedcleandataset[[#This Row],[day]])</f>
        <v>40567</v>
      </c>
      <c r="R547">
        <f>DAY(mergedcleandataset[[#This Row],[dteday]])</f>
        <v>24</v>
      </c>
      <c r="S547" t="str">
        <f>IF(mergedcleandataset[[#This Row],[weekday]]&gt;=5,"Yes","No")</f>
        <v>No</v>
      </c>
      <c r="T547" t="b">
        <f>ISBLANK(mergedcleandataset[[#This Row],[atemp]])</f>
        <v>0</v>
      </c>
      <c r="U547" t="str">
        <f t="shared" si="8"/>
        <v>Spring</v>
      </c>
      <c r="V547" t="str">
        <f>TEXT(mergedcleandataset[[#This Row],[date]],"dddd")</f>
        <v>Monday</v>
      </c>
      <c r="W54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48" spans="1:23" x14ac:dyDescent="0.25">
      <c r="A548">
        <v>547</v>
      </c>
      <c r="B548" s="1">
        <v>40567</v>
      </c>
      <c r="C548">
        <v>1</v>
      </c>
      <c r="D548" t="str">
        <f>TEXT(mergedcleandataset[[#This Row],[dteday]],"yyyy")</f>
        <v>2011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s="2">
        <f>DATE(mergedcleandataset[[#This Row],[yr]],mergedcleandataset[[#This Row],[mnth]],mergedcleandataset[[#This Row],[day]])</f>
        <v>40567</v>
      </c>
      <c r="R548">
        <f>DAY(mergedcleandataset[[#This Row],[dteday]])</f>
        <v>24</v>
      </c>
      <c r="S548" t="str">
        <f>IF(mergedcleandataset[[#This Row],[weekday]]&gt;=5,"Yes","No")</f>
        <v>No</v>
      </c>
      <c r="T548" t="b">
        <f>ISBLANK(mergedcleandataset[[#This Row],[atemp]])</f>
        <v>0</v>
      </c>
      <c r="U548" t="str">
        <f t="shared" si="8"/>
        <v>Spring</v>
      </c>
      <c r="V548" t="str">
        <f>TEXT(mergedcleandataset[[#This Row],[date]],"dddd")</f>
        <v>Monday</v>
      </c>
      <c r="W54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49" spans="1:23" x14ac:dyDescent="0.25">
      <c r="A549">
        <v>548</v>
      </c>
      <c r="B549" s="1">
        <v>40567</v>
      </c>
      <c r="C549">
        <v>1</v>
      </c>
      <c r="D549" t="str">
        <f>TEXT(mergedcleandataset[[#This Row],[dteday]],"yyyy")</f>
        <v>2011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s="2">
        <f>DATE(mergedcleandataset[[#This Row],[yr]],mergedcleandataset[[#This Row],[mnth]],mergedcleandataset[[#This Row],[day]])</f>
        <v>40567</v>
      </c>
      <c r="R549">
        <f>DAY(mergedcleandataset[[#This Row],[dteday]])</f>
        <v>24</v>
      </c>
      <c r="S549" t="str">
        <f>IF(mergedcleandataset[[#This Row],[weekday]]&gt;=5,"Yes","No")</f>
        <v>No</v>
      </c>
      <c r="T549" t="b">
        <f>ISBLANK(mergedcleandataset[[#This Row],[atemp]])</f>
        <v>0</v>
      </c>
      <c r="U549" t="str">
        <f t="shared" si="8"/>
        <v>Spring</v>
      </c>
      <c r="V549" t="str">
        <f>TEXT(mergedcleandataset[[#This Row],[date]],"dddd")</f>
        <v>Monday</v>
      </c>
      <c r="W54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50" spans="1:23" x14ac:dyDescent="0.25">
      <c r="A550">
        <v>549</v>
      </c>
      <c r="B550" s="1">
        <v>40568</v>
      </c>
      <c r="C550">
        <v>1</v>
      </c>
      <c r="D550" t="str">
        <f>TEXT(mergedcleandataset[[#This Row],[dteday]],"yyyy")</f>
        <v>2011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s="2">
        <f>DATE(mergedcleandataset[[#This Row],[yr]],mergedcleandataset[[#This Row],[mnth]],mergedcleandataset[[#This Row],[day]])</f>
        <v>40568</v>
      </c>
      <c r="R550">
        <f>DAY(mergedcleandataset[[#This Row],[dteday]])</f>
        <v>25</v>
      </c>
      <c r="S550" t="str">
        <f>IF(mergedcleandataset[[#This Row],[weekday]]&gt;=5,"Yes","No")</f>
        <v>No</v>
      </c>
      <c r="T550" t="b">
        <f>ISBLANK(mergedcleandataset[[#This Row],[atemp]])</f>
        <v>0</v>
      </c>
      <c r="U550" t="str">
        <f t="shared" si="8"/>
        <v>Spring</v>
      </c>
      <c r="V550" t="str">
        <f>TEXT(mergedcleandataset[[#This Row],[date]],"dddd")</f>
        <v>Tuesday</v>
      </c>
      <c r="W55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51" spans="1:23" x14ac:dyDescent="0.25">
      <c r="A551">
        <v>550</v>
      </c>
      <c r="B551" s="1">
        <v>40568</v>
      </c>
      <c r="C551">
        <v>1</v>
      </c>
      <c r="D551" t="str">
        <f>TEXT(mergedcleandataset[[#This Row],[dteday]],"yyyy")</f>
        <v>2011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s="2">
        <f>DATE(mergedcleandataset[[#This Row],[yr]],mergedcleandataset[[#This Row],[mnth]],mergedcleandataset[[#This Row],[day]])</f>
        <v>40568</v>
      </c>
      <c r="R551">
        <f>DAY(mergedcleandataset[[#This Row],[dteday]])</f>
        <v>25</v>
      </c>
      <c r="S551" t="str">
        <f>IF(mergedcleandataset[[#This Row],[weekday]]&gt;=5,"Yes","No")</f>
        <v>No</v>
      </c>
      <c r="T551" t="b">
        <f>ISBLANK(mergedcleandataset[[#This Row],[atemp]])</f>
        <v>0</v>
      </c>
      <c r="U551" t="str">
        <f t="shared" si="8"/>
        <v>Spring</v>
      </c>
      <c r="V551" t="str">
        <f>TEXT(mergedcleandataset[[#This Row],[date]],"dddd")</f>
        <v>Tuesday</v>
      </c>
      <c r="W55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52" spans="1:23" x14ac:dyDescent="0.25">
      <c r="A552">
        <v>551</v>
      </c>
      <c r="B552" s="1">
        <v>40568</v>
      </c>
      <c r="C552">
        <v>1</v>
      </c>
      <c r="D552" t="str">
        <f>TEXT(mergedcleandataset[[#This Row],[dteday]],"yyyy")</f>
        <v>2011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s="2">
        <f>DATE(mergedcleandataset[[#This Row],[yr]],mergedcleandataset[[#This Row],[mnth]],mergedcleandataset[[#This Row],[day]])</f>
        <v>40568</v>
      </c>
      <c r="R552">
        <f>DAY(mergedcleandataset[[#This Row],[dteday]])</f>
        <v>25</v>
      </c>
      <c r="S552" t="str">
        <f>IF(mergedcleandataset[[#This Row],[weekday]]&gt;=5,"Yes","No")</f>
        <v>No</v>
      </c>
      <c r="T552" t="b">
        <f>ISBLANK(mergedcleandataset[[#This Row],[atemp]])</f>
        <v>0</v>
      </c>
      <c r="U552" t="str">
        <f t="shared" si="8"/>
        <v>Spring</v>
      </c>
      <c r="V552" t="str">
        <f>TEXT(mergedcleandataset[[#This Row],[date]],"dddd")</f>
        <v>Tuesday</v>
      </c>
      <c r="W5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53" spans="1:23" x14ac:dyDescent="0.25">
      <c r="A553">
        <v>552</v>
      </c>
      <c r="B553" s="1">
        <v>40568</v>
      </c>
      <c r="C553">
        <v>1</v>
      </c>
      <c r="D553" t="str">
        <f>TEXT(mergedcleandataset[[#This Row],[dteday]],"yyyy")</f>
        <v>2011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s="2">
        <f>DATE(mergedcleandataset[[#This Row],[yr]],mergedcleandataset[[#This Row],[mnth]],mergedcleandataset[[#This Row],[day]])</f>
        <v>40568</v>
      </c>
      <c r="R553">
        <f>DAY(mergedcleandataset[[#This Row],[dteday]])</f>
        <v>25</v>
      </c>
      <c r="S553" t="str">
        <f>IF(mergedcleandataset[[#This Row],[weekday]]&gt;=5,"Yes","No")</f>
        <v>No</v>
      </c>
      <c r="T553" t="b">
        <f>ISBLANK(mergedcleandataset[[#This Row],[atemp]])</f>
        <v>0</v>
      </c>
      <c r="U553" t="str">
        <f t="shared" si="8"/>
        <v>Spring</v>
      </c>
      <c r="V553" t="str">
        <f>TEXT(mergedcleandataset[[#This Row],[date]],"dddd")</f>
        <v>Tuesday</v>
      </c>
      <c r="W55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54" spans="1:23" x14ac:dyDescent="0.25">
      <c r="A554">
        <v>553</v>
      </c>
      <c r="B554" s="1">
        <v>40568</v>
      </c>
      <c r="C554">
        <v>1</v>
      </c>
      <c r="D554" t="str">
        <f>TEXT(mergedcleandataset[[#This Row],[dteday]],"yyyy")</f>
        <v>2011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s="2">
        <f>DATE(mergedcleandataset[[#This Row],[yr]],mergedcleandataset[[#This Row],[mnth]],mergedcleandataset[[#This Row],[day]])</f>
        <v>40568</v>
      </c>
      <c r="R554">
        <f>DAY(mergedcleandataset[[#This Row],[dteday]])</f>
        <v>25</v>
      </c>
      <c r="S554" t="str">
        <f>IF(mergedcleandataset[[#This Row],[weekday]]&gt;=5,"Yes","No")</f>
        <v>No</v>
      </c>
      <c r="T554" t="b">
        <f>ISBLANK(mergedcleandataset[[#This Row],[atemp]])</f>
        <v>0</v>
      </c>
      <c r="U554" t="str">
        <f t="shared" si="8"/>
        <v>Spring</v>
      </c>
      <c r="V554" t="str">
        <f>TEXT(mergedcleandataset[[#This Row],[date]],"dddd")</f>
        <v>Tuesday</v>
      </c>
      <c r="W55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55" spans="1:23" x14ac:dyDescent="0.25">
      <c r="A555">
        <v>554</v>
      </c>
      <c r="B555" s="1">
        <v>40568</v>
      </c>
      <c r="C555">
        <v>1</v>
      </c>
      <c r="D555" t="str">
        <f>TEXT(mergedcleandataset[[#This Row],[dteday]],"yyyy")</f>
        <v>2011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s="2">
        <f>DATE(mergedcleandataset[[#This Row],[yr]],mergedcleandataset[[#This Row],[mnth]],mergedcleandataset[[#This Row],[day]])</f>
        <v>40568</v>
      </c>
      <c r="R555">
        <f>DAY(mergedcleandataset[[#This Row],[dteday]])</f>
        <v>25</v>
      </c>
      <c r="S555" t="str">
        <f>IF(mergedcleandataset[[#This Row],[weekday]]&gt;=5,"Yes","No")</f>
        <v>No</v>
      </c>
      <c r="T555" t="b">
        <f>ISBLANK(mergedcleandataset[[#This Row],[atemp]])</f>
        <v>0</v>
      </c>
      <c r="U555" t="str">
        <f t="shared" si="8"/>
        <v>Spring</v>
      </c>
      <c r="V555" t="str">
        <f>TEXT(mergedcleandataset[[#This Row],[date]],"dddd")</f>
        <v>Tuesday</v>
      </c>
      <c r="W55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56" spans="1:23" x14ac:dyDescent="0.25">
      <c r="A556">
        <v>555</v>
      </c>
      <c r="B556" s="1">
        <v>40568</v>
      </c>
      <c r="C556">
        <v>1</v>
      </c>
      <c r="D556" t="str">
        <f>TEXT(mergedcleandataset[[#This Row],[dteday]],"yyyy")</f>
        <v>2011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s="2">
        <f>DATE(mergedcleandataset[[#This Row],[yr]],mergedcleandataset[[#This Row],[mnth]],mergedcleandataset[[#This Row],[day]])</f>
        <v>40568</v>
      </c>
      <c r="R556">
        <f>DAY(mergedcleandataset[[#This Row],[dteday]])</f>
        <v>25</v>
      </c>
      <c r="S556" t="str">
        <f>IF(mergedcleandataset[[#This Row],[weekday]]&gt;=5,"Yes","No")</f>
        <v>No</v>
      </c>
      <c r="T556" t="b">
        <f>ISBLANK(mergedcleandataset[[#This Row],[atemp]])</f>
        <v>0</v>
      </c>
      <c r="U556" t="str">
        <f t="shared" si="8"/>
        <v>Spring</v>
      </c>
      <c r="V556" t="str">
        <f>TEXT(mergedcleandataset[[#This Row],[date]],"dddd")</f>
        <v>Tuesday</v>
      </c>
      <c r="W55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57" spans="1:23" x14ac:dyDescent="0.25">
      <c r="A557">
        <v>556</v>
      </c>
      <c r="B557" s="1">
        <v>40568</v>
      </c>
      <c r="C557">
        <v>1</v>
      </c>
      <c r="D557" t="str">
        <f>TEXT(mergedcleandataset[[#This Row],[dteday]],"yyyy")</f>
        <v>2011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s="2">
        <f>DATE(mergedcleandataset[[#This Row],[yr]],mergedcleandataset[[#This Row],[mnth]],mergedcleandataset[[#This Row],[day]])</f>
        <v>40568</v>
      </c>
      <c r="R557">
        <f>DAY(mergedcleandataset[[#This Row],[dteday]])</f>
        <v>25</v>
      </c>
      <c r="S557" t="str">
        <f>IF(mergedcleandataset[[#This Row],[weekday]]&gt;=5,"Yes","No")</f>
        <v>No</v>
      </c>
      <c r="T557" t="b">
        <f>ISBLANK(mergedcleandataset[[#This Row],[atemp]])</f>
        <v>0</v>
      </c>
      <c r="U557" t="str">
        <f t="shared" si="8"/>
        <v>Spring</v>
      </c>
      <c r="V557" t="str">
        <f>TEXT(mergedcleandataset[[#This Row],[date]],"dddd")</f>
        <v>Tuesday</v>
      </c>
      <c r="W55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58" spans="1:23" x14ac:dyDescent="0.25">
      <c r="A558">
        <v>557</v>
      </c>
      <c r="B558" s="1">
        <v>40568</v>
      </c>
      <c r="C558">
        <v>1</v>
      </c>
      <c r="D558" t="str">
        <f>TEXT(mergedcleandataset[[#This Row],[dteday]],"yyyy")</f>
        <v>2011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s="2">
        <f>DATE(mergedcleandataset[[#This Row],[yr]],mergedcleandataset[[#This Row],[mnth]],mergedcleandataset[[#This Row],[day]])</f>
        <v>40568</v>
      </c>
      <c r="R558">
        <f>DAY(mergedcleandataset[[#This Row],[dteday]])</f>
        <v>25</v>
      </c>
      <c r="S558" t="str">
        <f>IF(mergedcleandataset[[#This Row],[weekday]]&gt;=5,"Yes","No")</f>
        <v>No</v>
      </c>
      <c r="T558" t="b">
        <f>ISBLANK(mergedcleandataset[[#This Row],[atemp]])</f>
        <v>0</v>
      </c>
      <c r="U558" t="str">
        <f t="shared" si="8"/>
        <v>Spring</v>
      </c>
      <c r="V558" t="str">
        <f>TEXT(mergedcleandataset[[#This Row],[date]],"dddd")</f>
        <v>Tuesday</v>
      </c>
      <c r="W55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59" spans="1:23" x14ac:dyDescent="0.25">
      <c r="A559">
        <v>558</v>
      </c>
      <c r="B559" s="1">
        <v>40568</v>
      </c>
      <c r="C559">
        <v>1</v>
      </c>
      <c r="D559" t="str">
        <f>TEXT(mergedcleandataset[[#This Row],[dteday]],"yyyy")</f>
        <v>2011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s="2">
        <f>DATE(mergedcleandataset[[#This Row],[yr]],mergedcleandataset[[#This Row],[mnth]],mergedcleandataset[[#This Row],[day]])</f>
        <v>40568</v>
      </c>
      <c r="R559">
        <f>DAY(mergedcleandataset[[#This Row],[dteday]])</f>
        <v>25</v>
      </c>
      <c r="S559" t="str">
        <f>IF(mergedcleandataset[[#This Row],[weekday]]&gt;=5,"Yes","No")</f>
        <v>No</v>
      </c>
      <c r="T559" t="b">
        <f>ISBLANK(mergedcleandataset[[#This Row],[atemp]])</f>
        <v>0</v>
      </c>
      <c r="U559" t="str">
        <f t="shared" si="8"/>
        <v>Spring</v>
      </c>
      <c r="V559" t="str">
        <f>TEXT(mergedcleandataset[[#This Row],[date]],"dddd")</f>
        <v>Tuesday</v>
      </c>
      <c r="W55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0" spans="1:23" x14ac:dyDescent="0.25">
      <c r="A560">
        <v>559</v>
      </c>
      <c r="B560" s="1">
        <v>40568</v>
      </c>
      <c r="C560">
        <v>1</v>
      </c>
      <c r="D560" t="str">
        <f>TEXT(mergedcleandataset[[#This Row],[dteday]],"yyyy")</f>
        <v>2011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s="2">
        <f>DATE(mergedcleandataset[[#This Row],[yr]],mergedcleandataset[[#This Row],[mnth]],mergedcleandataset[[#This Row],[day]])</f>
        <v>40568</v>
      </c>
      <c r="R560">
        <f>DAY(mergedcleandataset[[#This Row],[dteday]])</f>
        <v>25</v>
      </c>
      <c r="S560" t="str">
        <f>IF(mergedcleandataset[[#This Row],[weekday]]&gt;=5,"Yes","No")</f>
        <v>No</v>
      </c>
      <c r="T560" t="b">
        <f>ISBLANK(mergedcleandataset[[#This Row],[atemp]])</f>
        <v>0</v>
      </c>
      <c r="U560" t="str">
        <f t="shared" si="8"/>
        <v>Spring</v>
      </c>
      <c r="V560" t="str">
        <f>TEXT(mergedcleandataset[[#This Row],[date]],"dddd")</f>
        <v>Tuesday</v>
      </c>
      <c r="W56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1" spans="1:23" x14ac:dyDescent="0.25">
      <c r="A561">
        <v>560</v>
      </c>
      <c r="B561" s="1">
        <v>40568</v>
      </c>
      <c r="C561">
        <v>1</v>
      </c>
      <c r="D561" t="str">
        <f>TEXT(mergedcleandataset[[#This Row],[dteday]],"yyyy")</f>
        <v>2011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s="2">
        <f>DATE(mergedcleandataset[[#This Row],[yr]],mergedcleandataset[[#This Row],[mnth]],mergedcleandataset[[#This Row],[day]])</f>
        <v>40568</v>
      </c>
      <c r="R561">
        <f>DAY(mergedcleandataset[[#This Row],[dteday]])</f>
        <v>25</v>
      </c>
      <c r="S561" t="str">
        <f>IF(mergedcleandataset[[#This Row],[weekday]]&gt;=5,"Yes","No")</f>
        <v>No</v>
      </c>
      <c r="T561" t="b">
        <f>ISBLANK(mergedcleandataset[[#This Row],[atemp]])</f>
        <v>0</v>
      </c>
      <c r="U561" t="str">
        <f t="shared" si="8"/>
        <v>Spring</v>
      </c>
      <c r="V561" t="str">
        <f>TEXT(mergedcleandataset[[#This Row],[date]],"dddd")</f>
        <v>Tuesday</v>
      </c>
      <c r="W56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2" spans="1:23" x14ac:dyDescent="0.25">
      <c r="A562">
        <v>561</v>
      </c>
      <c r="B562" s="1">
        <v>40568</v>
      </c>
      <c r="C562">
        <v>1</v>
      </c>
      <c r="D562" t="str">
        <f>TEXT(mergedcleandataset[[#This Row],[dteday]],"yyyy")</f>
        <v>2011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s="2">
        <f>DATE(mergedcleandataset[[#This Row],[yr]],mergedcleandataset[[#This Row],[mnth]],mergedcleandataset[[#This Row],[day]])</f>
        <v>40568</v>
      </c>
      <c r="R562">
        <f>DAY(mergedcleandataset[[#This Row],[dteday]])</f>
        <v>25</v>
      </c>
      <c r="S562" t="str">
        <f>IF(mergedcleandataset[[#This Row],[weekday]]&gt;=5,"Yes","No")</f>
        <v>No</v>
      </c>
      <c r="T562" t="b">
        <f>ISBLANK(mergedcleandataset[[#This Row],[atemp]])</f>
        <v>0</v>
      </c>
      <c r="U562" t="str">
        <f t="shared" si="8"/>
        <v>Spring</v>
      </c>
      <c r="V562" t="str">
        <f>TEXT(mergedcleandataset[[#This Row],[date]],"dddd")</f>
        <v>Tuesday</v>
      </c>
      <c r="W56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3" spans="1:23" x14ac:dyDescent="0.25">
      <c r="A563">
        <v>562</v>
      </c>
      <c r="B563" s="1">
        <v>40568</v>
      </c>
      <c r="C563">
        <v>1</v>
      </c>
      <c r="D563" t="str">
        <f>TEXT(mergedcleandataset[[#This Row],[dteday]],"yyyy")</f>
        <v>2011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s="2">
        <f>DATE(mergedcleandataset[[#This Row],[yr]],mergedcleandataset[[#This Row],[mnth]],mergedcleandataset[[#This Row],[day]])</f>
        <v>40568</v>
      </c>
      <c r="R563">
        <f>DAY(mergedcleandataset[[#This Row],[dteday]])</f>
        <v>25</v>
      </c>
      <c r="S563" t="str">
        <f>IF(mergedcleandataset[[#This Row],[weekday]]&gt;=5,"Yes","No")</f>
        <v>No</v>
      </c>
      <c r="T563" t="b">
        <f>ISBLANK(mergedcleandataset[[#This Row],[atemp]])</f>
        <v>0</v>
      </c>
      <c r="U563" t="str">
        <f t="shared" si="8"/>
        <v>Spring</v>
      </c>
      <c r="V563" t="str">
        <f>TEXT(mergedcleandataset[[#This Row],[date]],"dddd")</f>
        <v>Tuesday</v>
      </c>
      <c r="W56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4" spans="1:23" x14ac:dyDescent="0.25">
      <c r="A564">
        <v>563</v>
      </c>
      <c r="B564" s="1">
        <v>40568</v>
      </c>
      <c r="C564">
        <v>1</v>
      </c>
      <c r="D564" t="str">
        <f>TEXT(mergedcleandataset[[#This Row],[dteday]],"yyyy")</f>
        <v>2011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s="2">
        <f>DATE(mergedcleandataset[[#This Row],[yr]],mergedcleandataset[[#This Row],[mnth]],mergedcleandataset[[#This Row],[day]])</f>
        <v>40568</v>
      </c>
      <c r="R564">
        <f>DAY(mergedcleandataset[[#This Row],[dteday]])</f>
        <v>25</v>
      </c>
      <c r="S564" t="str">
        <f>IF(mergedcleandataset[[#This Row],[weekday]]&gt;=5,"Yes","No")</f>
        <v>No</v>
      </c>
      <c r="T564" t="b">
        <f>ISBLANK(mergedcleandataset[[#This Row],[atemp]])</f>
        <v>0</v>
      </c>
      <c r="U564" t="str">
        <f t="shared" si="8"/>
        <v>Spring</v>
      </c>
      <c r="V564" t="str">
        <f>TEXT(mergedcleandataset[[#This Row],[date]],"dddd")</f>
        <v>Tuesday</v>
      </c>
      <c r="W56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5" spans="1:23" x14ac:dyDescent="0.25">
      <c r="A565">
        <v>564</v>
      </c>
      <c r="B565" s="1">
        <v>40568</v>
      </c>
      <c r="C565">
        <v>1</v>
      </c>
      <c r="D565" t="str">
        <f>TEXT(mergedcleandataset[[#This Row],[dteday]],"yyyy")</f>
        <v>2011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s="2">
        <f>DATE(mergedcleandataset[[#This Row],[yr]],mergedcleandataset[[#This Row],[mnth]],mergedcleandataset[[#This Row],[day]])</f>
        <v>40568</v>
      </c>
      <c r="R565">
        <f>DAY(mergedcleandataset[[#This Row],[dteday]])</f>
        <v>25</v>
      </c>
      <c r="S565" t="str">
        <f>IF(mergedcleandataset[[#This Row],[weekday]]&gt;=5,"Yes","No")</f>
        <v>No</v>
      </c>
      <c r="T565" t="b">
        <f>ISBLANK(mergedcleandataset[[#This Row],[atemp]])</f>
        <v>0</v>
      </c>
      <c r="U565" t="str">
        <f t="shared" si="8"/>
        <v>Spring</v>
      </c>
      <c r="V565" t="str">
        <f>TEXT(mergedcleandataset[[#This Row],[date]],"dddd")</f>
        <v>Tuesday</v>
      </c>
      <c r="W56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6" spans="1:23" x14ac:dyDescent="0.25">
      <c r="A566">
        <v>565</v>
      </c>
      <c r="B566" s="1">
        <v>40568</v>
      </c>
      <c r="C566">
        <v>1</v>
      </c>
      <c r="D566" t="str">
        <f>TEXT(mergedcleandataset[[#This Row],[dteday]],"yyyy")</f>
        <v>2011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s="2">
        <f>DATE(mergedcleandataset[[#This Row],[yr]],mergedcleandataset[[#This Row],[mnth]],mergedcleandataset[[#This Row],[day]])</f>
        <v>40568</v>
      </c>
      <c r="R566">
        <f>DAY(mergedcleandataset[[#This Row],[dteday]])</f>
        <v>25</v>
      </c>
      <c r="S566" t="str">
        <f>IF(mergedcleandataset[[#This Row],[weekday]]&gt;=5,"Yes","No")</f>
        <v>No</v>
      </c>
      <c r="T566" t="b">
        <f>ISBLANK(mergedcleandataset[[#This Row],[atemp]])</f>
        <v>0</v>
      </c>
      <c r="U566" t="str">
        <f t="shared" si="8"/>
        <v>Spring</v>
      </c>
      <c r="V566" t="str">
        <f>TEXT(mergedcleandataset[[#This Row],[date]],"dddd")</f>
        <v>Tuesday</v>
      </c>
      <c r="W56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67" spans="1:23" x14ac:dyDescent="0.25">
      <c r="A567">
        <v>566</v>
      </c>
      <c r="B567" s="1">
        <v>40568</v>
      </c>
      <c r="C567">
        <v>1</v>
      </c>
      <c r="D567" t="str">
        <f>TEXT(mergedcleandataset[[#This Row],[dteday]],"yyyy")</f>
        <v>2011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s="2">
        <f>DATE(mergedcleandataset[[#This Row],[yr]],mergedcleandataset[[#This Row],[mnth]],mergedcleandataset[[#This Row],[day]])</f>
        <v>40568</v>
      </c>
      <c r="R567">
        <f>DAY(mergedcleandataset[[#This Row],[dteday]])</f>
        <v>25</v>
      </c>
      <c r="S567" t="str">
        <f>IF(mergedcleandataset[[#This Row],[weekday]]&gt;=5,"Yes","No")</f>
        <v>No</v>
      </c>
      <c r="T567" t="b">
        <f>ISBLANK(mergedcleandataset[[#This Row],[atemp]])</f>
        <v>0</v>
      </c>
      <c r="U567" t="str">
        <f t="shared" si="8"/>
        <v>Spring</v>
      </c>
      <c r="V567" t="str">
        <f>TEXT(mergedcleandataset[[#This Row],[date]],"dddd")</f>
        <v>Tuesday</v>
      </c>
      <c r="W56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8" spans="1:23" x14ac:dyDescent="0.25">
      <c r="A568">
        <v>567</v>
      </c>
      <c r="B568" s="1">
        <v>40568</v>
      </c>
      <c r="C568">
        <v>1</v>
      </c>
      <c r="D568" t="str">
        <f>TEXT(mergedcleandataset[[#This Row],[dteday]],"yyyy")</f>
        <v>2011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s="2">
        <f>DATE(mergedcleandataset[[#This Row],[yr]],mergedcleandataset[[#This Row],[mnth]],mergedcleandataset[[#This Row],[day]])</f>
        <v>40568</v>
      </c>
      <c r="R568">
        <f>DAY(mergedcleandataset[[#This Row],[dteday]])</f>
        <v>25</v>
      </c>
      <c r="S568" t="str">
        <f>IF(mergedcleandataset[[#This Row],[weekday]]&gt;=5,"Yes","No")</f>
        <v>No</v>
      </c>
      <c r="T568" t="b">
        <f>ISBLANK(mergedcleandataset[[#This Row],[atemp]])</f>
        <v>0</v>
      </c>
      <c r="U568" t="str">
        <f t="shared" si="8"/>
        <v>Spring</v>
      </c>
      <c r="V568" t="str">
        <f>TEXT(mergedcleandataset[[#This Row],[date]],"dddd")</f>
        <v>Tuesday</v>
      </c>
      <c r="W56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69" spans="1:23" x14ac:dyDescent="0.25">
      <c r="A569">
        <v>568</v>
      </c>
      <c r="B569" s="1">
        <v>40568</v>
      </c>
      <c r="C569">
        <v>1</v>
      </c>
      <c r="D569" t="str">
        <f>TEXT(mergedcleandataset[[#This Row],[dteday]],"yyyy")</f>
        <v>2011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s="2">
        <f>DATE(mergedcleandataset[[#This Row],[yr]],mergedcleandataset[[#This Row],[mnth]],mergedcleandataset[[#This Row],[day]])</f>
        <v>40568</v>
      </c>
      <c r="R569">
        <f>DAY(mergedcleandataset[[#This Row],[dteday]])</f>
        <v>25</v>
      </c>
      <c r="S569" t="str">
        <f>IF(mergedcleandataset[[#This Row],[weekday]]&gt;=5,"Yes","No")</f>
        <v>No</v>
      </c>
      <c r="T569" t="b">
        <f>ISBLANK(mergedcleandataset[[#This Row],[atemp]])</f>
        <v>0</v>
      </c>
      <c r="U569" t="str">
        <f t="shared" si="8"/>
        <v>Spring</v>
      </c>
      <c r="V569" t="str">
        <f>TEXT(mergedcleandataset[[#This Row],[date]],"dddd")</f>
        <v>Tuesday</v>
      </c>
      <c r="W56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70" spans="1:23" x14ac:dyDescent="0.25">
      <c r="A570">
        <v>569</v>
      </c>
      <c r="B570" s="1">
        <v>40568</v>
      </c>
      <c r="C570">
        <v>1</v>
      </c>
      <c r="D570" t="str">
        <f>TEXT(mergedcleandataset[[#This Row],[dteday]],"yyyy")</f>
        <v>2011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s="2">
        <f>DATE(mergedcleandataset[[#This Row],[yr]],mergedcleandataset[[#This Row],[mnth]],mergedcleandataset[[#This Row],[day]])</f>
        <v>40568</v>
      </c>
      <c r="R570">
        <f>DAY(mergedcleandataset[[#This Row],[dteday]])</f>
        <v>25</v>
      </c>
      <c r="S570" t="str">
        <f>IF(mergedcleandataset[[#This Row],[weekday]]&gt;=5,"Yes","No")</f>
        <v>No</v>
      </c>
      <c r="T570" t="b">
        <f>ISBLANK(mergedcleandataset[[#This Row],[atemp]])</f>
        <v>0</v>
      </c>
      <c r="U570" t="str">
        <f t="shared" si="8"/>
        <v>Spring</v>
      </c>
      <c r="V570" t="str">
        <f>TEXT(mergedcleandataset[[#This Row],[date]],"dddd")</f>
        <v>Tuesday</v>
      </c>
      <c r="W57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71" spans="1:23" x14ac:dyDescent="0.25">
      <c r="A571">
        <v>570</v>
      </c>
      <c r="B571" s="1">
        <v>40568</v>
      </c>
      <c r="C571">
        <v>1</v>
      </c>
      <c r="D571" t="str">
        <f>TEXT(mergedcleandataset[[#This Row],[dteday]],"yyyy")</f>
        <v>2011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s="2">
        <f>DATE(mergedcleandataset[[#This Row],[yr]],mergedcleandataset[[#This Row],[mnth]],mergedcleandataset[[#This Row],[day]])</f>
        <v>40568</v>
      </c>
      <c r="R571">
        <f>DAY(mergedcleandataset[[#This Row],[dteday]])</f>
        <v>25</v>
      </c>
      <c r="S571" t="str">
        <f>IF(mergedcleandataset[[#This Row],[weekday]]&gt;=5,"Yes","No")</f>
        <v>No</v>
      </c>
      <c r="T571" t="b">
        <f>ISBLANK(mergedcleandataset[[#This Row],[atemp]])</f>
        <v>0</v>
      </c>
      <c r="U571" t="str">
        <f t="shared" si="8"/>
        <v>Spring</v>
      </c>
      <c r="V571" t="str">
        <f>TEXT(mergedcleandataset[[#This Row],[date]],"dddd")</f>
        <v>Tuesday</v>
      </c>
      <c r="W5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72" spans="1:23" x14ac:dyDescent="0.25">
      <c r="A572">
        <v>571</v>
      </c>
      <c r="B572" s="1">
        <v>40568</v>
      </c>
      <c r="C572">
        <v>1</v>
      </c>
      <c r="D572" t="str">
        <f>TEXT(mergedcleandataset[[#This Row],[dteday]],"yyyy")</f>
        <v>2011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s="2">
        <f>DATE(mergedcleandataset[[#This Row],[yr]],mergedcleandataset[[#This Row],[mnth]],mergedcleandataset[[#This Row],[day]])</f>
        <v>40568</v>
      </c>
      <c r="R572">
        <f>DAY(mergedcleandataset[[#This Row],[dteday]])</f>
        <v>25</v>
      </c>
      <c r="S572" t="str">
        <f>IF(mergedcleandataset[[#This Row],[weekday]]&gt;=5,"Yes","No")</f>
        <v>No</v>
      </c>
      <c r="T572" t="b">
        <f>ISBLANK(mergedcleandataset[[#This Row],[atemp]])</f>
        <v>0</v>
      </c>
      <c r="U572" t="str">
        <f t="shared" si="8"/>
        <v>Spring</v>
      </c>
      <c r="V572" t="str">
        <f>TEXT(mergedcleandataset[[#This Row],[date]],"dddd")</f>
        <v>Tuesday</v>
      </c>
      <c r="W57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73" spans="1:23" x14ac:dyDescent="0.25">
      <c r="A573">
        <v>572</v>
      </c>
      <c r="B573" s="1">
        <v>40569</v>
      </c>
      <c r="C573">
        <v>1</v>
      </c>
      <c r="D573" t="str">
        <f>TEXT(mergedcleandataset[[#This Row],[dteday]],"yyyy")</f>
        <v>2011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s="2">
        <f>DATE(mergedcleandataset[[#This Row],[yr]],mergedcleandataset[[#This Row],[mnth]],mergedcleandataset[[#This Row],[day]])</f>
        <v>40569</v>
      </c>
      <c r="R573">
        <f>DAY(mergedcleandataset[[#This Row],[dteday]])</f>
        <v>26</v>
      </c>
      <c r="S573" t="str">
        <f>IF(mergedcleandataset[[#This Row],[weekday]]&gt;=5,"Yes","No")</f>
        <v>No</v>
      </c>
      <c r="T573" t="b">
        <f>ISBLANK(mergedcleandataset[[#This Row],[atemp]])</f>
        <v>0</v>
      </c>
      <c r="U573" t="str">
        <f t="shared" si="8"/>
        <v>Spring</v>
      </c>
      <c r="V573" t="str">
        <f>TEXT(mergedcleandataset[[#This Row],[date]],"dddd")</f>
        <v>Wednesday</v>
      </c>
      <c r="W57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74" spans="1:23" x14ac:dyDescent="0.25">
      <c r="A574">
        <v>573</v>
      </c>
      <c r="B574" s="1">
        <v>40569</v>
      </c>
      <c r="C574">
        <v>1</v>
      </c>
      <c r="D574" t="str">
        <f>TEXT(mergedcleandataset[[#This Row],[dteday]],"yyyy")</f>
        <v>2011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s="2">
        <f>DATE(mergedcleandataset[[#This Row],[yr]],mergedcleandataset[[#This Row],[mnth]],mergedcleandataset[[#This Row],[day]])</f>
        <v>40569</v>
      </c>
      <c r="R574">
        <f>DAY(mergedcleandataset[[#This Row],[dteday]])</f>
        <v>26</v>
      </c>
      <c r="S574" t="str">
        <f>IF(mergedcleandataset[[#This Row],[weekday]]&gt;=5,"Yes","No")</f>
        <v>No</v>
      </c>
      <c r="T574" t="b">
        <f>ISBLANK(mergedcleandataset[[#This Row],[atemp]])</f>
        <v>0</v>
      </c>
      <c r="U574" t="str">
        <f t="shared" si="8"/>
        <v>Spring</v>
      </c>
      <c r="V574" t="str">
        <f>TEXT(mergedcleandataset[[#This Row],[date]],"dddd")</f>
        <v>Wednesday</v>
      </c>
      <c r="W57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75" spans="1:23" x14ac:dyDescent="0.25">
      <c r="A575">
        <v>574</v>
      </c>
      <c r="B575" s="1">
        <v>40569</v>
      </c>
      <c r="C575">
        <v>1</v>
      </c>
      <c r="D575" t="str">
        <f>TEXT(mergedcleandataset[[#This Row],[dteday]],"yyyy")</f>
        <v>2011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s="2">
        <f>DATE(mergedcleandataset[[#This Row],[yr]],mergedcleandataset[[#This Row],[mnth]],mergedcleandataset[[#This Row],[day]])</f>
        <v>40569</v>
      </c>
      <c r="R575">
        <f>DAY(mergedcleandataset[[#This Row],[dteday]])</f>
        <v>26</v>
      </c>
      <c r="S575" t="str">
        <f>IF(mergedcleandataset[[#This Row],[weekday]]&gt;=5,"Yes","No")</f>
        <v>No</v>
      </c>
      <c r="T575" t="b">
        <f>ISBLANK(mergedcleandataset[[#This Row],[atemp]])</f>
        <v>0</v>
      </c>
      <c r="U575" t="str">
        <f t="shared" si="8"/>
        <v>Spring</v>
      </c>
      <c r="V575" t="str">
        <f>TEXT(mergedcleandataset[[#This Row],[date]],"dddd")</f>
        <v>Wednesday</v>
      </c>
      <c r="W57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76" spans="1:23" x14ac:dyDescent="0.25">
      <c r="A576">
        <v>575</v>
      </c>
      <c r="B576" s="1">
        <v>40569</v>
      </c>
      <c r="C576">
        <v>1</v>
      </c>
      <c r="D576" t="str">
        <f>TEXT(mergedcleandataset[[#This Row],[dteday]],"yyyy")</f>
        <v>2011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s="2">
        <f>DATE(mergedcleandataset[[#This Row],[yr]],mergedcleandataset[[#This Row],[mnth]],mergedcleandataset[[#This Row],[day]])</f>
        <v>40569</v>
      </c>
      <c r="R576">
        <f>DAY(mergedcleandataset[[#This Row],[dteday]])</f>
        <v>26</v>
      </c>
      <c r="S576" t="str">
        <f>IF(mergedcleandataset[[#This Row],[weekday]]&gt;=5,"Yes","No")</f>
        <v>No</v>
      </c>
      <c r="T576" t="b">
        <f>ISBLANK(mergedcleandataset[[#This Row],[atemp]])</f>
        <v>0</v>
      </c>
      <c r="U576" t="str">
        <f t="shared" si="8"/>
        <v>Spring</v>
      </c>
      <c r="V576" t="str">
        <f>TEXT(mergedcleandataset[[#This Row],[date]],"dddd")</f>
        <v>Wednesday</v>
      </c>
      <c r="W57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77" spans="1:23" x14ac:dyDescent="0.25">
      <c r="A577">
        <v>576</v>
      </c>
      <c r="B577" s="1">
        <v>40569</v>
      </c>
      <c r="C577">
        <v>1</v>
      </c>
      <c r="D577" t="str">
        <f>TEXT(mergedcleandataset[[#This Row],[dteday]],"yyyy")</f>
        <v>2011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s="2">
        <f>DATE(mergedcleandataset[[#This Row],[yr]],mergedcleandataset[[#This Row],[mnth]],mergedcleandataset[[#This Row],[day]])</f>
        <v>40569</v>
      </c>
      <c r="R577">
        <f>DAY(mergedcleandataset[[#This Row],[dteday]])</f>
        <v>26</v>
      </c>
      <c r="S577" t="str">
        <f>IF(mergedcleandataset[[#This Row],[weekday]]&gt;=5,"Yes","No")</f>
        <v>No</v>
      </c>
      <c r="T577" t="b">
        <f>ISBLANK(mergedcleandataset[[#This Row],[atemp]])</f>
        <v>0</v>
      </c>
      <c r="U577" t="str">
        <f t="shared" si="8"/>
        <v>Spring</v>
      </c>
      <c r="V577" t="str">
        <f>TEXT(mergedcleandataset[[#This Row],[date]],"dddd")</f>
        <v>Wednesday</v>
      </c>
      <c r="W57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78" spans="1:23" x14ac:dyDescent="0.25">
      <c r="A578">
        <v>577</v>
      </c>
      <c r="B578" s="1">
        <v>40569</v>
      </c>
      <c r="C578">
        <v>1</v>
      </c>
      <c r="D578" t="str">
        <f>TEXT(mergedcleandataset[[#This Row],[dteday]],"yyyy")</f>
        <v>2011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s="2">
        <f>DATE(mergedcleandataset[[#This Row],[yr]],mergedcleandataset[[#This Row],[mnth]],mergedcleandataset[[#This Row],[day]])</f>
        <v>40569</v>
      </c>
      <c r="R578">
        <f>DAY(mergedcleandataset[[#This Row],[dteday]])</f>
        <v>26</v>
      </c>
      <c r="S578" t="str">
        <f>IF(mergedcleandataset[[#This Row],[weekday]]&gt;=5,"Yes","No")</f>
        <v>No</v>
      </c>
      <c r="T578" t="b">
        <f>ISBLANK(mergedcleandataset[[#This Row],[atemp]])</f>
        <v>0</v>
      </c>
      <c r="U578" t="str">
        <f t="shared" ref="U578:U641" si="9">IF(C578=1,"Spring",
IF(C578=2,"Summer",
IF(C578=3,"Fall",
IF(C578=4,"Winter","Unknown"))))</f>
        <v>Spring</v>
      </c>
      <c r="V578" t="str">
        <f>TEXT(mergedcleandataset[[#This Row],[date]],"dddd")</f>
        <v>Wednesday</v>
      </c>
      <c r="W57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79" spans="1:23" x14ac:dyDescent="0.25">
      <c r="A579">
        <v>578</v>
      </c>
      <c r="B579" s="1">
        <v>40569</v>
      </c>
      <c r="C579">
        <v>1</v>
      </c>
      <c r="D579" t="str">
        <f>TEXT(mergedcleandataset[[#This Row],[dteday]],"yyyy")</f>
        <v>2011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s="2">
        <f>DATE(mergedcleandataset[[#This Row],[yr]],mergedcleandataset[[#This Row],[mnth]],mergedcleandataset[[#This Row],[day]])</f>
        <v>40569</v>
      </c>
      <c r="R579">
        <f>DAY(mergedcleandataset[[#This Row],[dteday]])</f>
        <v>26</v>
      </c>
      <c r="S579" t="str">
        <f>IF(mergedcleandataset[[#This Row],[weekday]]&gt;=5,"Yes","No")</f>
        <v>No</v>
      </c>
      <c r="T579" t="b">
        <f>ISBLANK(mergedcleandataset[[#This Row],[atemp]])</f>
        <v>0</v>
      </c>
      <c r="U579" t="str">
        <f t="shared" si="9"/>
        <v>Spring</v>
      </c>
      <c r="V579" t="str">
        <f>TEXT(mergedcleandataset[[#This Row],[date]],"dddd")</f>
        <v>Wednesday</v>
      </c>
      <c r="W57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0" spans="1:23" x14ac:dyDescent="0.25">
      <c r="A580">
        <v>579</v>
      </c>
      <c r="B580" s="1">
        <v>40569</v>
      </c>
      <c r="C580">
        <v>1</v>
      </c>
      <c r="D580" t="str">
        <f>TEXT(mergedcleandataset[[#This Row],[dteday]],"yyyy")</f>
        <v>2011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s="2">
        <f>DATE(mergedcleandataset[[#This Row],[yr]],mergedcleandataset[[#This Row],[mnth]],mergedcleandataset[[#This Row],[day]])</f>
        <v>40569</v>
      </c>
      <c r="R580">
        <f>DAY(mergedcleandataset[[#This Row],[dteday]])</f>
        <v>26</v>
      </c>
      <c r="S580" t="str">
        <f>IF(mergedcleandataset[[#This Row],[weekday]]&gt;=5,"Yes","No")</f>
        <v>No</v>
      </c>
      <c r="T580" t="b">
        <f>ISBLANK(mergedcleandataset[[#This Row],[atemp]])</f>
        <v>0</v>
      </c>
      <c r="U580" t="str">
        <f t="shared" si="9"/>
        <v>Spring</v>
      </c>
      <c r="V580" t="str">
        <f>TEXT(mergedcleandataset[[#This Row],[date]],"dddd")</f>
        <v>Wednesday</v>
      </c>
      <c r="W58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1" spans="1:23" x14ac:dyDescent="0.25">
      <c r="A581">
        <v>580</v>
      </c>
      <c r="B581" s="1">
        <v>40569</v>
      </c>
      <c r="C581">
        <v>1</v>
      </c>
      <c r="D581" t="str">
        <f>TEXT(mergedcleandataset[[#This Row],[dteday]],"yyyy")</f>
        <v>2011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s="2">
        <f>DATE(mergedcleandataset[[#This Row],[yr]],mergedcleandataset[[#This Row],[mnth]],mergedcleandataset[[#This Row],[day]])</f>
        <v>40569</v>
      </c>
      <c r="R581">
        <f>DAY(mergedcleandataset[[#This Row],[dteday]])</f>
        <v>26</v>
      </c>
      <c r="S581" t="str">
        <f>IF(mergedcleandataset[[#This Row],[weekday]]&gt;=5,"Yes","No")</f>
        <v>No</v>
      </c>
      <c r="T581" t="b">
        <f>ISBLANK(mergedcleandataset[[#This Row],[atemp]])</f>
        <v>0</v>
      </c>
      <c r="U581" t="str">
        <f t="shared" si="9"/>
        <v>Spring</v>
      </c>
      <c r="V581" t="str">
        <f>TEXT(mergedcleandataset[[#This Row],[date]],"dddd")</f>
        <v>Wednesday</v>
      </c>
      <c r="W58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2" spans="1:23" x14ac:dyDescent="0.25">
      <c r="A582">
        <v>581</v>
      </c>
      <c r="B582" s="1">
        <v>40569</v>
      </c>
      <c r="C582">
        <v>1</v>
      </c>
      <c r="D582" t="str">
        <f>TEXT(mergedcleandataset[[#This Row],[dteday]],"yyyy")</f>
        <v>2011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s="2">
        <f>DATE(mergedcleandataset[[#This Row],[yr]],mergedcleandataset[[#This Row],[mnth]],mergedcleandataset[[#This Row],[day]])</f>
        <v>40569</v>
      </c>
      <c r="R582">
        <f>DAY(mergedcleandataset[[#This Row],[dteday]])</f>
        <v>26</v>
      </c>
      <c r="S582" t="str">
        <f>IF(mergedcleandataset[[#This Row],[weekday]]&gt;=5,"Yes","No")</f>
        <v>No</v>
      </c>
      <c r="T582" t="b">
        <f>ISBLANK(mergedcleandataset[[#This Row],[atemp]])</f>
        <v>0</v>
      </c>
      <c r="U582" t="str">
        <f t="shared" si="9"/>
        <v>Spring</v>
      </c>
      <c r="V582" t="str">
        <f>TEXT(mergedcleandataset[[#This Row],[date]],"dddd")</f>
        <v>Wednesday</v>
      </c>
      <c r="W58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3" spans="1:23" x14ac:dyDescent="0.25">
      <c r="A583">
        <v>582</v>
      </c>
      <c r="B583" s="1">
        <v>40569</v>
      </c>
      <c r="C583">
        <v>1</v>
      </c>
      <c r="D583" t="str">
        <f>TEXT(mergedcleandataset[[#This Row],[dteday]],"yyyy")</f>
        <v>2011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s="2">
        <f>DATE(mergedcleandataset[[#This Row],[yr]],mergedcleandataset[[#This Row],[mnth]],mergedcleandataset[[#This Row],[day]])</f>
        <v>40569</v>
      </c>
      <c r="R583">
        <f>DAY(mergedcleandataset[[#This Row],[dteday]])</f>
        <v>26</v>
      </c>
      <c r="S583" t="str">
        <f>IF(mergedcleandataset[[#This Row],[weekday]]&gt;=5,"Yes","No")</f>
        <v>No</v>
      </c>
      <c r="T583" t="b">
        <f>ISBLANK(mergedcleandataset[[#This Row],[atemp]])</f>
        <v>0</v>
      </c>
      <c r="U583" t="str">
        <f t="shared" si="9"/>
        <v>Spring</v>
      </c>
      <c r="V583" t="str">
        <f>TEXT(mergedcleandataset[[#This Row],[date]],"dddd")</f>
        <v>Wednesday</v>
      </c>
      <c r="W58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4" spans="1:23" x14ac:dyDescent="0.25">
      <c r="A584">
        <v>583</v>
      </c>
      <c r="B584" s="1">
        <v>40569</v>
      </c>
      <c r="C584">
        <v>1</v>
      </c>
      <c r="D584" t="str">
        <f>TEXT(mergedcleandataset[[#This Row],[dteday]],"yyyy")</f>
        <v>2011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s="2">
        <f>DATE(mergedcleandataset[[#This Row],[yr]],mergedcleandataset[[#This Row],[mnth]],mergedcleandataset[[#This Row],[day]])</f>
        <v>40569</v>
      </c>
      <c r="R584">
        <f>DAY(mergedcleandataset[[#This Row],[dteday]])</f>
        <v>26</v>
      </c>
      <c r="S584" t="str">
        <f>IF(mergedcleandataset[[#This Row],[weekday]]&gt;=5,"Yes","No")</f>
        <v>No</v>
      </c>
      <c r="T584" t="b">
        <f>ISBLANK(mergedcleandataset[[#This Row],[atemp]])</f>
        <v>0</v>
      </c>
      <c r="U584" t="str">
        <f t="shared" si="9"/>
        <v>Spring</v>
      </c>
      <c r="V584" t="str">
        <f>TEXT(mergedcleandataset[[#This Row],[date]],"dddd")</f>
        <v>Wednesday</v>
      </c>
      <c r="W58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5" spans="1:23" x14ac:dyDescent="0.25">
      <c r="A585">
        <v>584</v>
      </c>
      <c r="B585" s="1">
        <v>40569</v>
      </c>
      <c r="C585">
        <v>1</v>
      </c>
      <c r="D585" t="str">
        <f>TEXT(mergedcleandataset[[#This Row],[dteday]],"yyyy")</f>
        <v>2011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s="2">
        <f>DATE(mergedcleandataset[[#This Row],[yr]],mergedcleandataset[[#This Row],[mnth]],mergedcleandataset[[#This Row],[day]])</f>
        <v>40569</v>
      </c>
      <c r="R585">
        <f>DAY(mergedcleandataset[[#This Row],[dteday]])</f>
        <v>26</v>
      </c>
      <c r="S585" t="str">
        <f>IF(mergedcleandataset[[#This Row],[weekday]]&gt;=5,"Yes","No")</f>
        <v>No</v>
      </c>
      <c r="T585" t="b">
        <f>ISBLANK(mergedcleandataset[[#This Row],[atemp]])</f>
        <v>0</v>
      </c>
      <c r="U585" t="str">
        <f t="shared" si="9"/>
        <v>Spring</v>
      </c>
      <c r="V585" t="str">
        <f>TEXT(mergedcleandataset[[#This Row],[date]],"dddd")</f>
        <v>Wednesday</v>
      </c>
      <c r="W58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6" spans="1:23" x14ac:dyDescent="0.25">
      <c r="A586">
        <v>585</v>
      </c>
      <c r="B586" s="1">
        <v>40569</v>
      </c>
      <c r="C586">
        <v>1</v>
      </c>
      <c r="D586" t="str">
        <f>TEXT(mergedcleandataset[[#This Row],[dteday]],"yyyy")</f>
        <v>2011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s="2">
        <f>DATE(mergedcleandataset[[#This Row],[yr]],mergedcleandataset[[#This Row],[mnth]],mergedcleandataset[[#This Row],[day]])</f>
        <v>40569</v>
      </c>
      <c r="R586">
        <f>DAY(mergedcleandataset[[#This Row],[dteday]])</f>
        <v>26</v>
      </c>
      <c r="S586" t="str">
        <f>IF(mergedcleandataset[[#This Row],[weekday]]&gt;=5,"Yes","No")</f>
        <v>No</v>
      </c>
      <c r="T586" t="b">
        <f>ISBLANK(mergedcleandataset[[#This Row],[atemp]])</f>
        <v>0</v>
      </c>
      <c r="U586" t="str">
        <f t="shared" si="9"/>
        <v>Spring</v>
      </c>
      <c r="V586" t="str">
        <f>TEXT(mergedcleandataset[[#This Row],[date]],"dddd")</f>
        <v>Wednesday</v>
      </c>
      <c r="W58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7" spans="1:23" x14ac:dyDescent="0.25">
      <c r="A587">
        <v>586</v>
      </c>
      <c r="B587" s="1">
        <v>40569</v>
      </c>
      <c r="C587">
        <v>1</v>
      </c>
      <c r="D587" t="str">
        <f>TEXT(mergedcleandataset[[#This Row],[dteday]],"yyyy")</f>
        <v>2011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s="2">
        <f>DATE(mergedcleandataset[[#This Row],[yr]],mergedcleandataset[[#This Row],[mnth]],mergedcleandataset[[#This Row],[day]])</f>
        <v>40569</v>
      </c>
      <c r="R587">
        <f>DAY(mergedcleandataset[[#This Row],[dteday]])</f>
        <v>26</v>
      </c>
      <c r="S587" t="str">
        <f>IF(mergedcleandataset[[#This Row],[weekday]]&gt;=5,"Yes","No")</f>
        <v>No</v>
      </c>
      <c r="T587" t="b">
        <f>ISBLANK(mergedcleandataset[[#This Row],[atemp]])</f>
        <v>0</v>
      </c>
      <c r="U587" t="str">
        <f t="shared" si="9"/>
        <v>Spring</v>
      </c>
      <c r="V587" t="str">
        <f>TEXT(mergedcleandataset[[#This Row],[date]],"dddd")</f>
        <v>Wednesday</v>
      </c>
      <c r="W587" t="str">
        <f>IF(mergedcleandataset[[#This Row],[weathersit]]=1,"Clear",
IF(mergedcleandataset[[#This Row],[weathersit]]=2,"Mist/Cloudy",
IF(mergedcleandataset[[#This Row],[weathersit]]=3,"Light Rain/Snow",
"Heavy Rain/Storm")))</f>
        <v>Heavy Rain/Storm</v>
      </c>
    </row>
    <row r="588" spans="1:23" x14ac:dyDescent="0.25">
      <c r="A588">
        <v>587</v>
      </c>
      <c r="B588" s="1">
        <v>40569</v>
      </c>
      <c r="C588">
        <v>1</v>
      </c>
      <c r="D588" t="str">
        <f>TEXT(mergedcleandataset[[#This Row],[dteday]],"yyyy")</f>
        <v>2011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s="2">
        <f>DATE(mergedcleandataset[[#This Row],[yr]],mergedcleandataset[[#This Row],[mnth]],mergedcleandataset[[#This Row],[day]])</f>
        <v>40569</v>
      </c>
      <c r="R588">
        <f>DAY(mergedcleandataset[[#This Row],[dteday]])</f>
        <v>26</v>
      </c>
      <c r="S588" t="str">
        <f>IF(mergedcleandataset[[#This Row],[weekday]]&gt;=5,"Yes","No")</f>
        <v>No</v>
      </c>
      <c r="T588" t="b">
        <f>ISBLANK(mergedcleandataset[[#This Row],[atemp]])</f>
        <v>0</v>
      </c>
      <c r="U588" t="str">
        <f t="shared" si="9"/>
        <v>Spring</v>
      </c>
      <c r="V588" t="str">
        <f>TEXT(mergedcleandataset[[#This Row],[date]],"dddd")</f>
        <v>Wednesday</v>
      </c>
      <c r="W58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589" spans="1:23" x14ac:dyDescent="0.25">
      <c r="A589">
        <v>588</v>
      </c>
      <c r="B589" s="1">
        <v>40570</v>
      </c>
      <c r="C589">
        <v>1</v>
      </c>
      <c r="D589" t="str">
        <f>TEXT(mergedcleandataset[[#This Row],[dteday]],"yyyy")</f>
        <v>2011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  <c r="Q589" s="2">
        <f>DATE(mergedcleandataset[[#This Row],[yr]],mergedcleandataset[[#This Row],[mnth]],mergedcleandataset[[#This Row],[day]])</f>
        <v>40570</v>
      </c>
      <c r="R589">
        <f>DAY(mergedcleandataset[[#This Row],[dteday]])</f>
        <v>27</v>
      </c>
      <c r="S589" t="str">
        <f>IF(mergedcleandataset[[#This Row],[weekday]]&gt;=5,"Yes","No")</f>
        <v>No</v>
      </c>
      <c r="T589" t="b">
        <f>ISBLANK(mergedcleandataset[[#This Row],[atemp]])</f>
        <v>0</v>
      </c>
      <c r="U589" t="str">
        <f t="shared" si="9"/>
        <v>Spring</v>
      </c>
      <c r="V589" t="str">
        <f>TEXT(mergedcleandataset[[#This Row],[date]],"dddd")</f>
        <v>Thursday</v>
      </c>
      <c r="W58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0" spans="1:23" x14ac:dyDescent="0.25">
      <c r="A590">
        <v>589</v>
      </c>
      <c r="B590" s="1">
        <v>40570</v>
      </c>
      <c r="C590">
        <v>1</v>
      </c>
      <c r="D590" t="str">
        <f>TEXT(mergedcleandataset[[#This Row],[dteday]],"yyyy")</f>
        <v>2011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  <c r="Q590" s="2">
        <f>DATE(mergedcleandataset[[#This Row],[yr]],mergedcleandataset[[#This Row],[mnth]],mergedcleandataset[[#This Row],[day]])</f>
        <v>40570</v>
      </c>
      <c r="R590">
        <f>DAY(mergedcleandataset[[#This Row],[dteday]])</f>
        <v>27</v>
      </c>
      <c r="S590" t="str">
        <f>IF(mergedcleandataset[[#This Row],[weekday]]&gt;=5,"Yes","No")</f>
        <v>No</v>
      </c>
      <c r="T590" t="b">
        <f>ISBLANK(mergedcleandataset[[#This Row],[atemp]])</f>
        <v>0</v>
      </c>
      <c r="U590" t="str">
        <f t="shared" si="9"/>
        <v>Spring</v>
      </c>
      <c r="V590" t="str">
        <f>TEXT(mergedcleandataset[[#This Row],[date]],"dddd")</f>
        <v>Thursday</v>
      </c>
      <c r="W59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1" spans="1:23" x14ac:dyDescent="0.25">
      <c r="A591">
        <v>590</v>
      </c>
      <c r="B591" s="1">
        <v>40570</v>
      </c>
      <c r="C591">
        <v>1</v>
      </c>
      <c r="D591" t="str">
        <f>TEXT(mergedcleandataset[[#This Row],[dteday]],"yyyy")</f>
        <v>2011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  <c r="Q591" s="2">
        <f>DATE(mergedcleandataset[[#This Row],[yr]],mergedcleandataset[[#This Row],[mnth]],mergedcleandataset[[#This Row],[day]])</f>
        <v>40570</v>
      </c>
      <c r="R591">
        <f>DAY(mergedcleandataset[[#This Row],[dteday]])</f>
        <v>27</v>
      </c>
      <c r="S591" t="str">
        <f>IF(mergedcleandataset[[#This Row],[weekday]]&gt;=5,"Yes","No")</f>
        <v>No</v>
      </c>
      <c r="T591" t="b">
        <f>ISBLANK(mergedcleandataset[[#This Row],[atemp]])</f>
        <v>0</v>
      </c>
      <c r="U591" t="str">
        <f t="shared" si="9"/>
        <v>Spring</v>
      </c>
      <c r="V591" t="str">
        <f>TEXT(mergedcleandataset[[#This Row],[date]],"dddd")</f>
        <v>Thursday</v>
      </c>
      <c r="W59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2" spans="1:23" x14ac:dyDescent="0.25">
      <c r="A592">
        <v>591</v>
      </c>
      <c r="B592" s="1">
        <v>40570</v>
      </c>
      <c r="C592">
        <v>1</v>
      </c>
      <c r="D592" t="str">
        <f>TEXT(mergedcleandataset[[#This Row],[dteday]],"yyyy")</f>
        <v>2011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  <c r="Q592" s="2">
        <f>DATE(mergedcleandataset[[#This Row],[yr]],mergedcleandataset[[#This Row],[mnth]],mergedcleandataset[[#This Row],[day]])</f>
        <v>40570</v>
      </c>
      <c r="R592">
        <f>DAY(mergedcleandataset[[#This Row],[dteday]])</f>
        <v>27</v>
      </c>
      <c r="S592" t="str">
        <f>IF(mergedcleandataset[[#This Row],[weekday]]&gt;=5,"Yes","No")</f>
        <v>No</v>
      </c>
      <c r="T592" t="b">
        <f>ISBLANK(mergedcleandataset[[#This Row],[atemp]])</f>
        <v>0</v>
      </c>
      <c r="U592" t="str">
        <f t="shared" si="9"/>
        <v>Spring</v>
      </c>
      <c r="V592" t="str">
        <f>TEXT(mergedcleandataset[[#This Row],[date]],"dddd")</f>
        <v>Thursday</v>
      </c>
      <c r="W59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3" spans="1:23" x14ac:dyDescent="0.25">
      <c r="A593">
        <v>592</v>
      </c>
      <c r="B593" s="1">
        <v>40570</v>
      </c>
      <c r="C593">
        <v>1</v>
      </c>
      <c r="D593" t="str">
        <f>TEXT(mergedcleandataset[[#This Row],[dteday]],"yyyy")</f>
        <v>2011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  <c r="Q593" s="2">
        <f>DATE(mergedcleandataset[[#This Row],[yr]],mergedcleandataset[[#This Row],[mnth]],mergedcleandataset[[#This Row],[day]])</f>
        <v>40570</v>
      </c>
      <c r="R593">
        <f>DAY(mergedcleandataset[[#This Row],[dteday]])</f>
        <v>27</v>
      </c>
      <c r="S593" t="str">
        <f>IF(mergedcleandataset[[#This Row],[weekday]]&gt;=5,"Yes","No")</f>
        <v>No</v>
      </c>
      <c r="T593" t="b">
        <f>ISBLANK(mergedcleandataset[[#This Row],[atemp]])</f>
        <v>0</v>
      </c>
      <c r="U593" t="str">
        <f t="shared" si="9"/>
        <v>Spring</v>
      </c>
      <c r="V593" t="str">
        <f>TEXT(mergedcleandataset[[#This Row],[date]],"dddd")</f>
        <v>Thursday</v>
      </c>
      <c r="W59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4" spans="1:23" x14ac:dyDescent="0.25">
      <c r="A594">
        <v>593</v>
      </c>
      <c r="B594" s="1">
        <v>40570</v>
      </c>
      <c r="C594">
        <v>1</v>
      </c>
      <c r="D594" t="str">
        <f>TEXT(mergedcleandataset[[#This Row],[dteday]],"yyyy")</f>
        <v>2011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  <c r="Q594" s="2">
        <f>DATE(mergedcleandataset[[#This Row],[yr]],mergedcleandataset[[#This Row],[mnth]],mergedcleandataset[[#This Row],[day]])</f>
        <v>40570</v>
      </c>
      <c r="R594">
        <f>DAY(mergedcleandataset[[#This Row],[dteday]])</f>
        <v>27</v>
      </c>
      <c r="S594" t="str">
        <f>IF(mergedcleandataset[[#This Row],[weekday]]&gt;=5,"Yes","No")</f>
        <v>No</v>
      </c>
      <c r="T594" t="b">
        <f>ISBLANK(mergedcleandataset[[#This Row],[atemp]])</f>
        <v>0</v>
      </c>
      <c r="U594" t="str">
        <f t="shared" si="9"/>
        <v>Spring</v>
      </c>
      <c r="V594" t="str">
        <f>TEXT(mergedcleandataset[[#This Row],[date]],"dddd")</f>
        <v>Thursday</v>
      </c>
      <c r="W5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5" spans="1:23" x14ac:dyDescent="0.25">
      <c r="A595">
        <v>594</v>
      </c>
      <c r="B595" s="1">
        <v>40570</v>
      </c>
      <c r="C595">
        <v>1</v>
      </c>
      <c r="D595" t="str">
        <f>TEXT(mergedcleandataset[[#This Row],[dteday]],"yyyy")</f>
        <v>2011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  <c r="Q595" s="2">
        <f>DATE(mergedcleandataset[[#This Row],[yr]],mergedcleandataset[[#This Row],[mnth]],mergedcleandataset[[#This Row],[day]])</f>
        <v>40570</v>
      </c>
      <c r="R595">
        <f>DAY(mergedcleandataset[[#This Row],[dteday]])</f>
        <v>27</v>
      </c>
      <c r="S595" t="str">
        <f>IF(mergedcleandataset[[#This Row],[weekday]]&gt;=5,"Yes","No")</f>
        <v>No</v>
      </c>
      <c r="T595" t="b">
        <f>ISBLANK(mergedcleandataset[[#This Row],[atemp]])</f>
        <v>0</v>
      </c>
      <c r="U595" t="str">
        <f t="shared" si="9"/>
        <v>Spring</v>
      </c>
      <c r="V595" t="str">
        <f>TEXT(mergedcleandataset[[#This Row],[date]],"dddd")</f>
        <v>Thursday</v>
      </c>
      <c r="W5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6" spans="1:23" x14ac:dyDescent="0.25">
      <c r="A596">
        <v>595</v>
      </c>
      <c r="B596" s="1">
        <v>40570</v>
      </c>
      <c r="C596">
        <v>1</v>
      </c>
      <c r="D596" t="str">
        <f>TEXT(mergedcleandataset[[#This Row],[dteday]],"yyyy")</f>
        <v>2011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  <c r="Q596" s="2">
        <f>DATE(mergedcleandataset[[#This Row],[yr]],mergedcleandataset[[#This Row],[mnth]],mergedcleandataset[[#This Row],[day]])</f>
        <v>40570</v>
      </c>
      <c r="R596">
        <f>DAY(mergedcleandataset[[#This Row],[dteday]])</f>
        <v>27</v>
      </c>
      <c r="S596" t="str">
        <f>IF(mergedcleandataset[[#This Row],[weekday]]&gt;=5,"Yes","No")</f>
        <v>No</v>
      </c>
      <c r="T596" t="b">
        <f>ISBLANK(mergedcleandataset[[#This Row],[atemp]])</f>
        <v>0</v>
      </c>
      <c r="U596" t="str">
        <f t="shared" si="9"/>
        <v>Spring</v>
      </c>
      <c r="V596" t="str">
        <f>TEXT(mergedcleandataset[[#This Row],[date]],"dddd")</f>
        <v>Thursday</v>
      </c>
      <c r="W59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597" spans="1:23" x14ac:dyDescent="0.25">
      <c r="A597">
        <v>596</v>
      </c>
      <c r="B597" s="1">
        <v>40571</v>
      </c>
      <c r="C597">
        <v>1</v>
      </c>
      <c r="D597" t="str">
        <f>TEXT(mergedcleandataset[[#This Row],[dteday]],"yyyy")</f>
        <v>2011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  <c r="Q597" s="2">
        <f>DATE(mergedcleandataset[[#This Row],[yr]],mergedcleandataset[[#This Row],[mnth]],mergedcleandataset[[#This Row],[day]])</f>
        <v>40571</v>
      </c>
      <c r="R597">
        <f>DAY(mergedcleandataset[[#This Row],[dteday]])</f>
        <v>28</v>
      </c>
      <c r="S597" t="str">
        <f>IF(mergedcleandataset[[#This Row],[weekday]]&gt;=5,"Yes","No")</f>
        <v>Yes</v>
      </c>
      <c r="T597" t="b">
        <f>ISBLANK(mergedcleandataset[[#This Row],[atemp]])</f>
        <v>0</v>
      </c>
      <c r="U597" t="str">
        <f t="shared" si="9"/>
        <v>Spring</v>
      </c>
      <c r="V597" t="str">
        <f>TEXT(mergedcleandataset[[#This Row],[date]],"dddd")</f>
        <v>Friday</v>
      </c>
      <c r="W59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98" spans="1:23" x14ac:dyDescent="0.25">
      <c r="A598">
        <v>597</v>
      </c>
      <c r="B598" s="1">
        <v>40571</v>
      </c>
      <c r="C598">
        <v>1</v>
      </c>
      <c r="D598" t="str">
        <f>TEXT(mergedcleandataset[[#This Row],[dteday]],"yyyy")</f>
        <v>2011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  <c r="Q598" s="2">
        <f>DATE(mergedcleandataset[[#This Row],[yr]],mergedcleandataset[[#This Row],[mnth]],mergedcleandataset[[#This Row],[day]])</f>
        <v>40571</v>
      </c>
      <c r="R598">
        <f>DAY(mergedcleandataset[[#This Row],[dteday]])</f>
        <v>28</v>
      </c>
      <c r="S598" t="str">
        <f>IF(mergedcleandataset[[#This Row],[weekday]]&gt;=5,"Yes","No")</f>
        <v>Yes</v>
      </c>
      <c r="T598" t="b">
        <f>ISBLANK(mergedcleandataset[[#This Row],[atemp]])</f>
        <v>0</v>
      </c>
      <c r="U598" t="str">
        <f t="shared" si="9"/>
        <v>Spring</v>
      </c>
      <c r="V598" t="str">
        <f>TEXT(mergedcleandataset[[#This Row],[date]],"dddd")</f>
        <v>Friday</v>
      </c>
      <c r="W59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599" spans="1:23" x14ac:dyDescent="0.25">
      <c r="A599">
        <v>598</v>
      </c>
      <c r="B599" s="1">
        <v>40571</v>
      </c>
      <c r="C599">
        <v>1</v>
      </c>
      <c r="D599" t="str">
        <f>TEXT(mergedcleandataset[[#This Row],[dteday]],"yyyy")</f>
        <v>2011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  <c r="Q599" s="2">
        <f>DATE(mergedcleandataset[[#This Row],[yr]],mergedcleandataset[[#This Row],[mnth]],mergedcleandataset[[#This Row],[day]])</f>
        <v>40571</v>
      </c>
      <c r="R599">
        <f>DAY(mergedcleandataset[[#This Row],[dteday]])</f>
        <v>28</v>
      </c>
      <c r="S599" t="str">
        <f>IF(mergedcleandataset[[#This Row],[weekday]]&gt;=5,"Yes","No")</f>
        <v>Yes</v>
      </c>
      <c r="T599" t="b">
        <f>ISBLANK(mergedcleandataset[[#This Row],[atemp]])</f>
        <v>0</v>
      </c>
      <c r="U599" t="str">
        <f t="shared" si="9"/>
        <v>Spring</v>
      </c>
      <c r="V599" t="str">
        <f>TEXT(mergedcleandataset[[#This Row],[date]],"dddd")</f>
        <v>Friday</v>
      </c>
      <c r="W59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00" spans="1:23" x14ac:dyDescent="0.25">
      <c r="A600">
        <v>599</v>
      </c>
      <c r="B600" s="1">
        <v>40571</v>
      </c>
      <c r="C600">
        <v>1</v>
      </c>
      <c r="D600" t="str">
        <f>TEXT(mergedcleandataset[[#This Row],[dteday]],"yyyy")</f>
        <v>2011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  <c r="Q600" s="2">
        <f>DATE(mergedcleandataset[[#This Row],[yr]],mergedcleandataset[[#This Row],[mnth]],mergedcleandataset[[#This Row],[day]])</f>
        <v>40571</v>
      </c>
      <c r="R600">
        <f>DAY(mergedcleandataset[[#This Row],[dteday]])</f>
        <v>28</v>
      </c>
      <c r="S600" t="str">
        <f>IF(mergedcleandataset[[#This Row],[weekday]]&gt;=5,"Yes","No")</f>
        <v>Yes</v>
      </c>
      <c r="T600" t="b">
        <f>ISBLANK(mergedcleandataset[[#This Row],[atemp]])</f>
        <v>0</v>
      </c>
      <c r="U600" t="str">
        <f t="shared" si="9"/>
        <v>Spring</v>
      </c>
      <c r="V600" t="str">
        <f>TEXT(mergedcleandataset[[#This Row],[date]],"dddd")</f>
        <v>Friday</v>
      </c>
      <c r="W60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01" spans="1:23" x14ac:dyDescent="0.25">
      <c r="A601">
        <v>600</v>
      </c>
      <c r="B601" s="1">
        <v>40571</v>
      </c>
      <c r="C601">
        <v>1</v>
      </c>
      <c r="D601" t="str">
        <f>TEXT(mergedcleandataset[[#This Row],[dteday]],"yyyy")</f>
        <v>2011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  <c r="Q601" s="2">
        <f>DATE(mergedcleandataset[[#This Row],[yr]],mergedcleandataset[[#This Row],[mnth]],mergedcleandataset[[#This Row],[day]])</f>
        <v>40571</v>
      </c>
      <c r="R601">
        <f>DAY(mergedcleandataset[[#This Row],[dteday]])</f>
        <v>28</v>
      </c>
      <c r="S601" t="str">
        <f>IF(mergedcleandataset[[#This Row],[weekday]]&gt;=5,"Yes","No")</f>
        <v>Yes</v>
      </c>
      <c r="T601" t="b">
        <f>ISBLANK(mergedcleandataset[[#This Row],[atemp]])</f>
        <v>0</v>
      </c>
      <c r="U601" t="str">
        <f t="shared" si="9"/>
        <v>Spring</v>
      </c>
      <c r="V601" t="str">
        <f>TEXT(mergedcleandataset[[#This Row],[date]],"dddd")</f>
        <v>Friday</v>
      </c>
      <c r="W60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02" spans="1:23" x14ac:dyDescent="0.25">
      <c r="A602">
        <v>601</v>
      </c>
      <c r="B602" s="1">
        <v>40571</v>
      </c>
      <c r="C602">
        <v>1</v>
      </c>
      <c r="D602" t="str">
        <f>TEXT(mergedcleandataset[[#This Row],[dteday]],"yyyy")</f>
        <v>2011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  <c r="Q602" s="2">
        <f>DATE(mergedcleandataset[[#This Row],[yr]],mergedcleandataset[[#This Row],[mnth]],mergedcleandataset[[#This Row],[day]])</f>
        <v>40571</v>
      </c>
      <c r="R602">
        <f>DAY(mergedcleandataset[[#This Row],[dteday]])</f>
        <v>28</v>
      </c>
      <c r="S602" t="str">
        <f>IF(mergedcleandataset[[#This Row],[weekday]]&gt;=5,"Yes","No")</f>
        <v>Yes</v>
      </c>
      <c r="T602" t="b">
        <f>ISBLANK(mergedcleandataset[[#This Row],[atemp]])</f>
        <v>0</v>
      </c>
      <c r="U602" t="str">
        <f t="shared" si="9"/>
        <v>Spring</v>
      </c>
      <c r="V602" t="str">
        <f>TEXT(mergedcleandataset[[#This Row],[date]],"dddd")</f>
        <v>Friday</v>
      </c>
      <c r="W60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03" spans="1:23" x14ac:dyDescent="0.25">
      <c r="A603">
        <v>602</v>
      </c>
      <c r="B603" s="1">
        <v>40571</v>
      </c>
      <c r="C603">
        <v>1</v>
      </c>
      <c r="D603" t="str">
        <f>TEXT(mergedcleandataset[[#This Row],[dteday]],"yyyy")</f>
        <v>2011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  <c r="Q603" s="2">
        <f>DATE(mergedcleandataset[[#This Row],[yr]],mergedcleandataset[[#This Row],[mnth]],mergedcleandataset[[#This Row],[day]])</f>
        <v>40571</v>
      </c>
      <c r="R603">
        <f>DAY(mergedcleandataset[[#This Row],[dteday]])</f>
        <v>28</v>
      </c>
      <c r="S603" t="str">
        <f>IF(mergedcleandataset[[#This Row],[weekday]]&gt;=5,"Yes","No")</f>
        <v>Yes</v>
      </c>
      <c r="T603" t="b">
        <f>ISBLANK(mergedcleandataset[[#This Row],[atemp]])</f>
        <v>0</v>
      </c>
      <c r="U603" t="str">
        <f t="shared" si="9"/>
        <v>Spring</v>
      </c>
      <c r="V603" t="str">
        <f>TEXT(mergedcleandataset[[#This Row],[date]],"dddd")</f>
        <v>Friday</v>
      </c>
      <c r="W60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04" spans="1:23" x14ac:dyDescent="0.25">
      <c r="A604">
        <v>603</v>
      </c>
      <c r="B604" s="1">
        <v>40571</v>
      </c>
      <c r="C604">
        <v>1</v>
      </c>
      <c r="D604" t="str">
        <f>TEXT(mergedcleandataset[[#This Row],[dteday]],"yyyy")</f>
        <v>2011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  <c r="Q604" s="2">
        <f>DATE(mergedcleandataset[[#This Row],[yr]],mergedcleandataset[[#This Row],[mnth]],mergedcleandataset[[#This Row],[day]])</f>
        <v>40571</v>
      </c>
      <c r="R604">
        <f>DAY(mergedcleandataset[[#This Row],[dteday]])</f>
        <v>28</v>
      </c>
      <c r="S604" t="str">
        <f>IF(mergedcleandataset[[#This Row],[weekday]]&gt;=5,"Yes","No")</f>
        <v>Yes</v>
      </c>
      <c r="T604" t="b">
        <f>ISBLANK(mergedcleandataset[[#This Row],[atemp]])</f>
        <v>0</v>
      </c>
      <c r="U604" t="str">
        <f t="shared" si="9"/>
        <v>Spring</v>
      </c>
      <c r="V604" t="str">
        <f>TEXT(mergedcleandataset[[#This Row],[date]],"dddd")</f>
        <v>Friday</v>
      </c>
      <c r="W60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05" spans="1:23" x14ac:dyDescent="0.25">
      <c r="A605">
        <v>604</v>
      </c>
      <c r="B605" s="1">
        <v>40571</v>
      </c>
      <c r="C605">
        <v>1</v>
      </c>
      <c r="D605" t="str">
        <f>TEXT(mergedcleandataset[[#This Row],[dteday]],"yyyy")</f>
        <v>2011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  <c r="Q605" s="2">
        <f>DATE(mergedcleandataset[[#This Row],[yr]],mergedcleandataset[[#This Row],[mnth]],mergedcleandataset[[#This Row],[day]])</f>
        <v>40571</v>
      </c>
      <c r="R605">
        <f>DAY(mergedcleandataset[[#This Row],[dteday]])</f>
        <v>28</v>
      </c>
      <c r="S605" t="str">
        <f>IF(mergedcleandataset[[#This Row],[weekday]]&gt;=5,"Yes","No")</f>
        <v>Yes</v>
      </c>
      <c r="T605" t="b">
        <f>ISBLANK(mergedcleandataset[[#This Row],[atemp]])</f>
        <v>0</v>
      </c>
      <c r="U605" t="str">
        <f t="shared" si="9"/>
        <v>Spring</v>
      </c>
      <c r="V605" t="str">
        <f>TEXT(mergedcleandataset[[#This Row],[date]],"dddd")</f>
        <v>Friday</v>
      </c>
      <c r="W60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06" spans="1:23" x14ac:dyDescent="0.25">
      <c r="A606">
        <v>605</v>
      </c>
      <c r="B606" s="1">
        <v>40571</v>
      </c>
      <c r="C606">
        <v>1</v>
      </c>
      <c r="D606" t="str">
        <f>TEXT(mergedcleandataset[[#This Row],[dteday]],"yyyy")</f>
        <v>2011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  <c r="Q606" s="2">
        <f>DATE(mergedcleandataset[[#This Row],[yr]],mergedcleandataset[[#This Row],[mnth]],mergedcleandataset[[#This Row],[day]])</f>
        <v>40571</v>
      </c>
      <c r="R606">
        <f>DAY(mergedcleandataset[[#This Row],[dteday]])</f>
        <v>28</v>
      </c>
      <c r="S606" t="str">
        <f>IF(mergedcleandataset[[#This Row],[weekday]]&gt;=5,"Yes","No")</f>
        <v>Yes</v>
      </c>
      <c r="T606" t="b">
        <f>ISBLANK(mergedcleandataset[[#This Row],[atemp]])</f>
        <v>0</v>
      </c>
      <c r="U606" t="str">
        <f t="shared" si="9"/>
        <v>Spring</v>
      </c>
      <c r="V606" t="str">
        <f>TEXT(mergedcleandataset[[#This Row],[date]],"dddd")</f>
        <v>Friday</v>
      </c>
      <c r="W60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07" spans="1:23" x14ac:dyDescent="0.25">
      <c r="A607">
        <v>606</v>
      </c>
      <c r="B607" s="1">
        <v>40571</v>
      </c>
      <c r="C607">
        <v>1</v>
      </c>
      <c r="D607" t="str">
        <f>TEXT(mergedcleandataset[[#This Row],[dteday]],"yyyy")</f>
        <v>2011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  <c r="Q607" s="2">
        <f>DATE(mergedcleandataset[[#This Row],[yr]],mergedcleandataset[[#This Row],[mnth]],mergedcleandataset[[#This Row],[day]])</f>
        <v>40571</v>
      </c>
      <c r="R607">
        <f>DAY(mergedcleandataset[[#This Row],[dteday]])</f>
        <v>28</v>
      </c>
      <c r="S607" t="str">
        <f>IF(mergedcleandataset[[#This Row],[weekday]]&gt;=5,"Yes","No")</f>
        <v>Yes</v>
      </c>
      <c r="T607" t="b">
        <f>ISBLANK(mergedcleandataset[[#This Row],[atemp]])</f>
        <v>0</v>
      </c>
      <c r="U607" t="str">
        <f t="shared" si="9"/>
        <v>Spring</v>
      </c>
      <c r="V607" t="str">
        <f>TEXT(mergedcleandataset[[#This Row],[date]],"dddd")</f>
        <v>Friday</v>
      </c>
      <c r="W60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08" spans="1:23" x14ac:dyDescent="0.25">
      <c r="A608">
        <v>607</v>
      </c>
      <c r="B608" s="1">
        <v>40571</v>
      </c>
      <c r="C608">
        <v>1</v>
      </c>
      <c r="D608" t="str">
        <f>TEXT(mergedcleandataset[[#This Row],[dteday]],"yyyy")</f>
        <v>2011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  <c r="Q608" s="2">
        <f>DATE(mergedcleandataset[[#This Row],[yr]],mergedcleandataset[[#This Row],[mnth]],mergedcleandataset[[#This Row],[day]])</f>
        <v>40571</v>
      </c>
      <c r="R608">
        <f>DAY(mergedcleandataset[[#This Row],[dteday]])</f>
        <v>28</v>
      </c>
      <c r="S608" t="str">
        <f>IF(mergedcleandataset[[#This Row],[weekday]]&gt;=5,"Yes","No")</f>
        <v>Yes</v>
      </c>
      <c r="T608" t="b">
        <f>ISBLANK(mergedcleandataset[[#This Row],[atemp]])</f>
        <v>0</v>
      </c>
      <c r="U608" t="str">
        <f t="shared" si="9"/>
        <v>Spring</v>
      </c>
      <c r="V608" t="str">
        <f>TEXT(mergedcleandataset[[#This Row],[date]],"dddd")</f>
        <v>Friday</v>
      </c>
      <c r="W60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09" spans="1:23" x14ac:dyDescent="0.25">
      <c r="A609">
        <v>608</v>
      </c>
      <c r="B609" s="1">
        <v>40571</v>
      </c>
      <c r="C609">
        <v>1</v>
      </c>
      <c r="D609" t="str">
        <f>TEXT(mergedcleandataset[[#This Row],[dteday]],"yyyy")</f>
        <v>2011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  <c r="Q609" s="2">
        <f>DATE(mergedcleandataset[[#This Row],[yr]],mergedcleandataset[[#This Row],[mnth]],mergedcleandataset[[#This Row],[day]])</f>
        <v>40571</v>
      </c>
      <c r="R609">
        <f>DAY(mergedcleandataset[[#This Row],[dteday]])</f>
        <v>28</v>
      </c>
      <c r="S609" t="str">
        <f>IF(mergedcleandataset[[#This Row],[weekday]]&gt;=5,"Yes","No")</f>
        <v>Yes</v>
      </c>
      <c r="T609" t="b">
        <f>ISBLANK(mergedcleandataset[[#This Row],[atemp]])</f>
        <v>0</v>
      </c>
      <c r="U609" t="str">
        <f t="shared" si="9"/>
        <v>Spring</v>
      </c>
      <c r="V609" t="str">
        <f>TEXT(mergedcleandataset[[#This Row],[date]],"dddd")</f>
        <v>Friday</v>
      </c>
      <c r="W60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10" spans="1:23" x14ac:dyDescent="0.25">
      <c r="A610">
        <v>609</v>
      </c>
      <c r="B610" s="1">
        <v>40571</v>
      </c>
      <c r="C610">
        <v>1</v>
      </c>
      <c r="D610" t="str">
        <f>TEXT(mergedcleandataset[[#This Row],[dteday]],"yyyy")</f>
        <v>2011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  <c r="Q610" s="2">
        <f>DATE(mergedcleandataset[[#This Row],[yr]],mergedcleandataset[[#This Row],[mnth]],mergedcleandataset[[#This Row],[day]])</f>
        <v>40571</v>
      </c>
      <c r="R610">
        <f>DAY(mergedcleandataset[[#This Row],[dteday]])</f>
        <v>28</v>
      </c>
      <c r="S610" t="str">
        <f>IF(mergedcleandataset[[#This Row],[weekday]]&gt;=5,"Yes","No")</f>
        <v>Yes</v>
      </c>
      <c r="T610" t="b">
        <f>ISBLANK(mergedcleandataset[[#This Row],[atemp]])</f>
        <v>0</v>
      </c>
      <c r="U610" t="str">
        <f t="shared" si="9"/>
        <v>Spring</v>
      </c>
      <c r="V610" t="str">
        <f>TEXT(mergedcleandataset[[#This Row],[date]],"dddd")</f>
        <v>Friday</v>
      </c>
      <c r="W61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11" spans="1:23" x14ac:dyDescent="0.25">
      <c r="A611">
        <v>610</v>
      </c>
      <c r="B611" s="1">
        <v>40571</v>
      </c>
      <c r="C611">
        <v>1</v>
      </c>
      <c r="D611" t="str">
        <f>TEXT(mergedcleandataset[[#This Row],[dteday]],"yyyy")</f>
        <v>2011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  <c r="Q611" s="2">
        <f>DATE(mergedcleandataset[[#This Row],[yr]],mergedcleandataset[[#This Row],[mnth]],mergedcleandataset[[#This Row],[day]])</f>
        <v>40571</v>
      </c>
      <c r="R611">
        <f>DAY(mergedcleandataset[[#This Row],[dteday]])</f>
        <v>28</v>
      </c>
      <c r="S611" t="str">
        <f>IF(mergedcleandataset[[#This Row],[weekday]]&gt;=5,"Yes","No")</f>
        <v>Yes</v>
      </c>
      <c r="T611" t="b">
        <f>ISBLANK(mergedcleandataset[[#This Row],[atemp]])</f>
        <v>0</v>
      </c>
      <c r="U611" t="str">
        <f t="shared" si="9"/>
        <v>Spring</v>
      </c>
      <c r="V611" t="str">
        <f>TEXT(mergedcleandataset[[#This Row],[date]],"dddd")</f>
        <v>Friday</v>
      </c>
      <c r="W61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12" spans="1:23" x14ac:dyDescent="0.25">
      <c r="A612">
        <v>620</v>
      </c>
      <c r="B612" s="1">
        <v>40572</v>
      </c>
      <c r="C612">
        <v>1</v>
      </c>
      <c r="D612" t="str">
        <f>TEXT(mergedcleandataset[[#This Row],[dteday]],"yyyy")</f>
        <v>2011</v>
      </c>
      <c r="E612">
        <v>1</v>
      </c>
      <c r="F612">
        <v>1</v>
      </c>
      <c r="G612" t="b">
        <v>0</v>
      </c>
      <c r="H612">
        <v>6</v>
      </c>
      <c r="I612">
        <v>1</v>
      </c>
      <c r="J612">
        <v>0.22</v>
      </c>
      <c r="K612">
        <v>0.2273</v>
      </c>
      <c r="L612">
        <v>0.64</v>
      </c>
      <c r="M612">
        <v>0.19400000000000001</v>
      </c>
      <c r="N612">
        <v>0</v>
      </c>
      <c r="O612">
        <v>20</v>
      </c>
      <c r="P612">
        <v>20</v>
      </c>
      <c r="Q612" s="2">
        <f>DATE(mergedcleandataset[[#This Row],[yr]],mergedcleandataset[[#This Row],[mnth]],mergedcleandataset[[#This Row],[day]])</f>
        <v>40572</v>
      </c>
      <c r="R612">
        <f>DAY(mergedcleandataset[[#This Row],[dteday]])</f>
        <v>29</v>
      </c>
      <c r="S612" t="str">
        <f>IF(mergedcleandataset[[#This Row],[weekday]]&gt;=5,"Yes","No")</f>
        <v>Yes</v>
      </c>
      <c r="T612" t="b">
        <f>ISBLANK(mergedcleandataset[[#This Row],[atemp]])</f>
        <v>0</v>
      </c>
      <c r="U612" t="str">
        <f t="shared" si="9"/>
        <v>Spring</v>
      </c>
      <c r="V612" t="str">
        <f>TEXT(mergedcleandataset[[#This Row],[date]],"dddd")</f>
        <v>Saturday</v>
      </c>
      <c r="W6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3" spans="1:23" x14ac:dyDescent="0.25">
      <c r="A613">
        <v>621</v>
      </c>
      <c r="B613" s="1">
        <v>40572</v>
      </c>
      <c r="C613">
        <v>1</v>
      </c>
      <c r="D613" t="str">
        <f>TEXT(mergedcleandataset[[#This Row],[dteday]],"yyyy")</f>
        <v>2011</v>
      </c>
      <c r="E613">
        <v>1</v>
      </c>
      <c r="F613">
        <v>2</v>
      </c>
      <c r="G613" t="b">
        <v>0</v>
      </c>
      <c r="H613">
        <v>6</v>
      </c>
      <c r="I613">
        <v>1</v>
      </c>
      <c r="J613">
        <v>0.22</v>
      </c>
      <c r="K613">
        <v>0.2273</v>
      </c>
      <c r="L613">
        <v>0.64</v>
      </c>
      <c r="M613">
        <v>0.16420000000000001</v>
      </c>
      <c r="N613">
        <v>0</v>
      </c>
      <c r="O613">
        <v>15</v>
      </c>
      <c r="P613">
        <v>15</v>
      </c>
      <c r="Q613" s="2">
        <f>DATE(mergedcleandataset[[#This Row],[yr]],mergedcleandataset[[#This Row],[mnth]],mergedcleandataset[[#This Row],[day]])</f>
        <v>40572</v>
      </c>
      <c r="R613">
        <f>DAY(mergedcleandataset[[#This Row],[dteday]])</f>
        <v>29</v>
      </c>
      <c r="S613" t="str">
        <f>IF(mergedcleandataset[[#This Row],[weekday]]&gt;=5,"Yes","No")</f>
        <v>Yes</v>
      </c>
      <c r="T613" t="b">
        <f>ISBLANK(mergedcleandataset[[#This Row],[atemp]])</f>
        <v>0</v>
      </c>
      <c r="U613" t="str">
        <f t="shared" si="9"/>
        <v>Spring</v>
      </c>
      <c r="V613" t="str">
        <f>TEXT(mergedcleandataset[[#This Row],[date]],"dddd")</f>
        <v>Saturday</v>
      </c>
      <c r="W6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4" spans="1:23" x14ac:dyDescent="0.25">
      <c r="A614">
        <v>622</v>
      </c>
      <c r="B614" s="1">
        <v>40572</v>
      </c>
      <c r="C614">
        <v>1</v>
      </c>
      <c r="D614" t="str">
        <f>TEXT(mergedcleandataset[[#This Row],[dteday]],"yyyy")</f>
        <v>2011</v>
      </c>
      <c r="E614">
        <v>1</v>
      </c>
      <c r="F614">
        <v>3</v>
      </c>
      <c r="G614" t="b">
        <v>0</v>
      </c>
      <c r="H614">
        <v>6</v>
      </c>
      <c r="I614">
        <v>1</v>
      </c>
      <c r="J614">
        <v>0.2</v>
      </c>
      <c r="K614">
        <v>0.21210000000000001</v>
      </c>
      <c r="L614">
        <v>0.64</v>
      </c>
      <c r="M614">
        <v>0.1343</v>
      </c>
      <c r="N614">
        <v>3</v>
      </c>
      <c r="O614">
        <v>5</v>
      </c>
      <c r="P614">
        <v>8</v>
      </c>
      <c r="Q614" s="2">
        <f>DATE(mergedcleandataset[[#This Row],[yr]],mergedcleandataset[[#This Row],[mnth]],mergedcleandataset[[#This Row],[day]])</f>
        <v>40572</v>
      </c>
      <c r="R614">
        <f>DAY(mergedcleandataset[[#This Row],[dteday]])</f>
        <v>29</v>
      </c>
      <c r="S614" t="str">
        <f>IF(mergedcleandataset[[#This Row],[weekday]]&gt;=5,"Yes","No")</f>
        <v>Yes</v>
      </c>
      <c r="T614" t="b">
        <f>ISBLANK(mergedcleandataset[[#This Row],[atemp]])</f>
        <v>0</v>
      </c>
      <c r="U614" t="str">
        <f t="shared" si="9"/>
        <v>Spring</v>
      </c>
      <c r="V614" t="str">
        <f>TEXT(mergedcleandataset[[#This Row],[date]],"dddd")</f>
        <v>Saturday</v>
      </c>
      <c r="W6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5" spans="1:23" x14ac:dyDescent="0.25">
      <c r="A615">
        <v>623</v>
      </c>
      <c r="B615" s="1">
        <v>40572</v>
      </c>
      <c r="C615">
        <v>1</v>
      </c>
      <c r="D615" t="str">
        <f>TEXT(mergedcleandataset[[#This Row],[dteday]],"yyyy")</f>
        <v>2011</v>
      </c>
      <c r="E615">
        <v>1</v>
      </c>
      <c r="F615">
        <v>4</v>
      </c>
      <c r="G615" t="b">
        <v>0</v>
      </c>
      <c r="H615">
        <v>6</v>
      </c>
      <c r="I615">
        <v>1</v>
      </c>
      <c r="J615">
        <v>0.16</v>
      </c>
      <c r="K615">
        <v>0.18179999999999999</v>
      </c>
      <c r="L615">
        <v>0.69</v>
      </c>
      <c r="M615">
        <v>0.1045</v>
      </c>
      <c r="N615">
        <v>1</v>
      </c>
      <c r="O615">
        <v>2</v>
      </c>
      <c r="P615">
        <v>3</v>
      </c>
      <c r="Q615" s="2">
        <f>DATE(mergedcleandataset[[#This Row],[yr]],mergedcleandataset[[#This Row],[mnth]],mergedcleandataset[[#This Row],[day]])</f>
        <v>40572</v>
      </c>
      <c r="R615">
        <f>DAY(mergedcleandataset[[#This Row],[dteday]])</f>
        <v>29</v>
      </c>
      <c r="S615" t="str">
        <f>IF(mergedcleandataset[[#This Row],[weekday]]&gt;=5,"Yes","No")</f>
        <v>Yes</v>
      </c>
      <c r="T615" t="b">
        <f>ISBLANK(mergedcleandataset[[#This Row],[atemp]])</f>
        <v>0</v>
      </c>
      <c r="U615" t="str">
        <f t="shared" si="9"/>
        <v>Spring</v>
      </c>
      <c r="V615" t="str">
        <f>TEXT(mergedcleandataset[[#This Row],[date]],"dddd")</f>
        <v>Saturday</v>
      </c>
      <c r="W6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6" spans="1:23" x14ac:dyDescent="0.25">
      <c r="A616">
        <v>624</v>
      </c>
      <c r="B616" s="1">
        <v>40572</v>
      </c>
      <c r="C616">
        <v>1</v>
      </c>
      <c r="D616" t="str">
        <f>TEXT(mergedcleandataset[[#This Row],[dteday]],"yyyy")</f>
        <v>2011</v>
      </c>
      <c r="E616">
        <v>1</v>
      </c>
      <c r="F616">
        <v>6</v>
      </c>
      <c r="G616" t="b">
        <v>0</v>
      </c>
      <c r="H616">
        <v>6</v>
      </c>
      <c r="I616">
        <v>1</v>
      </c>
      <c r="J616">
        <v>0.16</v>
      </c>
      <c r="K616">
        <v>0.18179999999999999</v>
      </c>
      <c r="L616">
        <v>0.64</v>
      </c>
      <c r="M616">
        <v>0.1343</v>
      </c>
      <c r="N616">
        <v>0</v>
      </c>
      <c r="O616">
        <v>2</v>
      </c>
      <c r="P616">
        <v>2</v>
      </c>
      <c r="Q616" s="2">
        <f>DATE(mergedcleandataset[[#This Row],[yr]],mergedcleandataset[[#This Row],[mnth]],mergedcleandataset[[#This Row],[day]])</f>
        <v>40572</v>
      </c>
      <c r="R616">
        <f>DAY(mergedcleandataset[[#This Row],[dteday]])</f>
        <v>29</v>
      </c>
      <c r="S616" t="str">
        <f>IF(mergedcleandataset[[#This Row],[weekday]]&gt;=5,"Yes","No")</f>
        <v>Yes</v>
      </c>
      <c r="T616" t="b">
        <f>ISBLANK(mergedcleandataset[[#This Row],[atemp]])</f>
        <v>0</v>
      </c>
      <c r="U616" t="str">
        <f t="shared" si="9"/>
        <v>Spring</v>
      </c>
      <c r="V616" t="str">
        <f>TEXT(mergedcleandataset[[#This Row],[date]],"dddd")</f>
        <v>Saturday</v>
      </c>
      <c r="W6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7" spans="1:23" x14ac:dyDescent="0.25">
      <c r="A617">
        <v>625</v>
      </c>
      <c r="B617" s="1">
        <v>40572</v>
      </c>
      <c r="C617">
        <v>1</v>
      </c>
      <c r="D617" t="str">
        <f>TEXT(mergedcleandataset[[#This Row],[dteday]],"yyyy")</f>
        <v>2011</v>
      </c>
      <c r="E617">
        <v>1</v>
      </c>
      <c r="F617">
        <v>7</v>
      </c>
      <c r="G617" t="b">
        <v>0</v>
      </c>
      <c r="H617">
        <v>6</v>
      </c>
      <c r="I617">
        <v>1</v>
      </c>
      <c r="J617">
        <v>0.16</v>
      </c>
      <c r="K617">
        <v>0.18179999999999999</v>
      </c>
      <c r="L617">
        <v>0.59</v>
      </c>
      <c r="M617">
        <v>0.1045</v>
      </c>
      <c r="N617">
        <v>1</v>
      </c>
      <c r="O617">
        <v>4</v>
      </c>
      <c r="P617">
        <v>5</v>
      </c>
      <c r="Q617" s="2">
        <f>DATE(mergedcleandataset[[#This Row],[yr]],mergedcleandataset[[#This Row],[mnth]],mergedcleandataset[[#This Row],[day]])</f>
        <v>40572</v>
      </c>
      <c r="R617">
        <f>DAY(mergedcleandataset[[#This Row],[dteday]])</f>
        <v>29</v>
      </c>
      <c r="S617" t="str">
        <f>IF(mergedcleandataset[[#This Row],[weekday]]&gt;=5,"Yes","No")</f>
        <v>Yes</v>
      </c>
      <c r="T617" t="b">
        <f>ISBLANK(mergedcleandataset[[#This Row],[atemp]])</f>
        <v>0</v>
      </c>
      <c r="U617" t="str">
        <f t="shared" si="9"/>
        <v>Spring</v>
      </c>
      <c r="V617" t="str">
        <f>TEXT(mergedcleandataset[[#This Row],[date]],"dddd")</f>
        <v>Saturday</v>
      </c>
      <c r="W6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8" spans="1:23" x14ac:dyDescent="0.25">
      <c r="A618">
        <v>626</v>
      </c>
      <c r="B618" s="1">
        <v>40572</v>
      </c>
      <c r="C618">
        <v>1</v>
      </c>
      <c r="D618" t="str">
        <f>TEXT(mergedcleandataset[[#This Row],[dteday]],"yyyy")</f>
        <v>2011</v>
      </c>
      <c r="E618">
        <v>1</v>
      </c>
      <c r="F618">
        <v>8</v>
      </c>
      <c r="G618" t="b">
        <v>0</v>
      </c>
      <c r="H618">
        <v>6</v>
      </c>
      <c r="I618">
        <v>1</v>
      </c>
      <c r="J618">
        <v>0.18</v>
      </c>
      <c r="K618">
        <v>0.19700000000000001</v>
      </c>
      <c r="L618">
        <v>0.55000000000000004</v>
      </c>
      <c r="M618">
        <v>0.16420000000000001</v>
      </c>
      <c r="N618">
        <v>3</v>
      </c>
      <c r="O618">
        <v>31</v>
      </c>
      <c r="P618">
        <v>34</v>
      </c>
      <c r="Q618" s="2">
        <f>DATE(mergedcleandataset[[#This Row],[yr]],mergedcleandataset[[#This Row],[mnth]],mergedcleandataset[[#This Row],[day]])</f>
        <v>40572</v>
      </c>
      <c r="R618">
        <f>DAY(mergedcleandataset[[#This Row],[dteday]])</f>
        <v>29</v>
      </c>
      <c r="S618" t="str">
        <f>IF(mergedcleandataset[[#This Row],[weekday]]&gt;=5,"Yes","No")</f>
        <v>Yes</v>
      </c>
      <c r="T618" t="b">
        <f>ISBLANK(mergedcleandataset[[#This Row],[atemp]])</f>
        <v>0</v>
      </c>
      <c r="U618" t="str">
        <f t="shared" si="9"/>
        <v>Spring</v>
      </c>
      <c r="V618" t="str">
        <f>TEXT(mergedcleandataset[[#This Row],[date]],"dddd")</f>
        <v>Saturday</v>
      </c>
      <c r="W6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19" spans="1:23" x14ac:dyDescent="0.25">
      <c r="A619">
        <v>627</v>
      </c>
      <c r="B619" s="1">
        <v>40572</v>
      </c>
      <c r="C619">
        <v>1</v>
      </c>
      <c r="D619" t="str">
        <f>TEXT(mergedcleandataset[[#This Row],[dteday]],"yyyy")</f>
        <v>2011</v>
      </c>
      <c r="E619">
        <v>1</v>
      </c>
      <c r="F619">
        <v>9</v>
      </c>
      <c r="G619" t="b">
        <v>0</v>
      </c>
      <c r="H619">
        <v>6</v>
      </c>
      <c r="I619">
        <v>1</v>
      </c>
      <c r="J619">
        <v>0.18</v>
      </c>
      <c r="K619">
        <v>0.21210000000000001</v>
      </c>
      <c r="L619">
        <v>0.59</v>
      </c>
      <c r="M619">
        <v>8.9599999999999999E-2</v>
      </c>
      <c r="N619">
        <v>0</v>
      </c>
      <c r="O619">
        <v>34</v>
      </c>
      <c r="P619">
        <v>34</v>
      </c>
      <c r="Q619" s="2">
        <f>DATE(mergedcleandataset[[#This Row],[yr]],mergedcleandataset[[#This Row],[mnth]],mergedcleandataset[[#This Row],[day]])</f>
        <v>40572</v>
      </c>
      <c r="R619">
        <f>DAY(mergedcleandataset[[#This Row],[dteday]])</f>
        <v>29</v>
      </c>
      <c r="S619" t="str">
        <f>IF(mergedcleandataset[[#This Row],[weekday]]&gt;=5,"Yes","No")</f>
        <v>Yes</v>
      </c>
      <c r="T619" t="b">
        <f>ISBLANK(mergedcleandataset[[#This Row],[atemp]])</f>
        <v>0</v>
      </c>
      <c r="U619" t="str">
        <f t="shared" si="9"/>
        <v>Spring</v>
      </c>
      <c r="V619" t="str">
        <f>TEXT(mergedcleandataset[[#This Row],[date]],"dddd")</f>
        <v>Saturday</v>
      </c>
      <c r="W6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20" spans="1:23" x14ac:dyDescent="0.25">
      <c r="A620">
        <v>628</v>
      </c>
      <c r="B620" s="1">
        <v>40572</v>
      </c>
      <c r="C620">
        <v>1</v>
      </c>
      <c r="D620" t="str">
        <f>TEXT(mergedcleandataset[[#This Row],[dteday]],"yyyy")</f>
        <v>2011</v>
      </c>
      <c r="E620">
        <v>1</v>
      </c>
      <c r="F620">
        <v>10</v>
      </c>
      <c r="G620" t="b">
        <v>0</v>
      </c>
      <c r="H620">
        <v>6</v>
      </c>
      <c r="I620">
        <v>2</v>
      </c>
      <c r="J620">
        <v>0.18</v>
      </c>
      <c r="K620">
        <v>0.21210000000000001</v>
      </c>
      <c r="L620">
        <v>0.64</v>
      </c>
      <c r="M620">
        <v>0.1045</v>
      </c>
      <c r="N620">
        <v>4</v>
      </c>
      <c r="O620">
        <v>51</v>
      </c>
      <c r="P620">
        <v>55</v>
      </c>
      <c r="Q620" s="2">
        <f>DATE(mergedcleandataset[[#This Row],[yr]],mergedcleandataset[[#This Row],[mnth]],mergedcleandataset[[#This Row],[day]])</f>
        <v>40572</v>
      </c>
      <c r="R620">
        <f>DAY(mergedcleandataset[[#This Row],[dteday]])</f>
        <v>29</v>
      </c>
      <c r="S620" t="str">
        <f>IF(mergedcleandataset[[#This Row],[weekday]]&gt;=5,"Yes","No")</f>
        <v>Yes</v>
      </c>
      <c r="T620" t="b">
        <f>ISBLANK(mergedcleandataset[[#This Row],[atemp]])</f>
        <v>0</v>
      </c>
      <c r="U620" t="str">
        <f t="shared" si="9"/>
        <v>Spring</v>
      </c>
      <c r="V620" t="str">
        <f>TEXT(mergedcleandataset[[#This Row],[date]],"dddd")</f>
        <v>Saturday</v>
      </c>
      <c r="W62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21" spans="1:23" x14ac:dyDescent="0.25">
      <c r="A621">
        <v>629</v>
      </c>
      <c r="B621" s="1">
        <v>40572</v>
      </c>
      <c r="C621">
        <v>1</v>
      </c>
      <c r="D621" t="str">
        <f>TEXT(mergedcleandataset[[#This Row],[dteday]],"yyyy")</f>
        <v>2011</v>
      </c>
      <c r="E621">
        <v>1</v>
      </c>
      <c r="F621">
        <v>11</v>
      </c>
      <c r="G621" t="b">
        <v>0</v>
      </c>
      <c r="H621">
        <v>6</v>
      </c>
      <c r="I621">
        <v>2</v>
      </c>
      <c r="J621">
        <v>0.18</v>
      </c>
      <c r="K621">
        <v>0.19700000000000001</v>
      </c>
      <c r="L621">
        <v>0.64</v>
      </c>
      <c r="M621">
        <v>0.1343</v>
      </c>
      <c r="N621">
        <v>4</v>
      </c>
      <c r="O621">
        <v>60</v>
      </c>
      <c r="P621">
        <v>64</v>
      </c>
      <c r="Q621" s="2">
        <f>DATE(mergedcleandataset[[#This Row],[yr]],mergedcleandataset[[#This Row],[mnth]],mergedcleandataset[[#This Row],[day]])</f>
        <v>40572</v>
      </c>
      <c r="R621">
        <f>DAY(mergedcleandataset[[#This Row],[dteday]])</f>
        <v>29</v>
      </c>
      <c r="S621" t="str">
        <f>IF(mergedcleandataset[[#This Row],[weekday]]&gt;=5,"Yes","No")</f>
        <v>Yes</v>
      </c>
      <c r="T621" t="b">
        <f>ISBLANK(mergedcleandataset[[#This Row],[atemp]])</f>
        <v>0</v>
      </c>
      <c r="U621" t="str">
        <f t="shared" si="9"/>
        <v>Spring</v>
      </c>
      <c r="V621" t="str">
        <f>TEXT(mergedcleandataset[[#This Row],[date]],"dddd")</f>
        <v>Saturday</v>
      </c>
      <c r="W62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22" spans="1:23" x14ac:dyDescent="0.25">
      <c r="A622">
        <v>630</v>
      </c>
      <c r="B622" s="1">
        <v>40572</v>
      </c>
      <c r="C622">
        <v>1</v>
      </c>
      <c r="D622" t="str">
        <f>TEXT(mergedcleandataset[[#This Row],[dteday]],"yyyy")</f>
        <v>2011</v>
      </c>
      <c r="E622">
        <v>1</v>
      </c>
      <c r="F622">
        <v>12</v>
      </c>
      <c r="G622" t="b">
        <v>0</v>
      </c>
      <c r="H622">
        <v>6</v>
      </c>
      <c r="I622">
        <v>2</v>
      </c>
      <c r="J622">
        <v>0.2</v>
      </c>
      <c r="K622">
        <v>0.19700000000000001</v>
      </c>
      <c r="L622">
        <v>0.59</v>
      </c>
      <c r="M622">
        <v>0.19400000000000001</v>
      </c>
      <c r="N622">
        <v>12</v>
      </c>
      <c r="O622">
        <v>66</v>
      </c>
      <c r="P622">
        <v>78</v>
      </c>
      <c r="Q622" s="2">
        <f>DATE(mergedcleandataset[[#This Row],[yr]],mergedcleandataset[[#This Row],[mnth]],mergedcleandataset[[#This Row],[day]])</f>
        <v>40572</v>
      </c>
      <c r="R622">
        <f>DAY(mergedcleandataset[[#This Row],[dteday]])</f>
        <v>29</v>
      </c>
      <c r="S622" t="str">
        <f>IF(mergedcleandataset[[#This Row],[weekday]]&gt;=5,"Yes","No")</f>
        <v>Yes</v>
      </c>
      <c r="T622" t="b">
        <f>ISBLANK(mergedcleandataset[[#This Row],[atemp]])</f>
        <v>0</v>
      </c>
      <c r="U622" t="str">
        <f t="shared" si="9"/>
        <v>Spring</v>
      </c>
      <c r="V622" t="str">
        <f>TEXT(mergedcleandataset[[#This Row],[date]],"dddd")</f>
        <v>Saturday</v>
      </c>
      <c r="W62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23" spans="1:23" x14ac:dyDescent="0.25">
      <c r="A623">
        <v>631</v>
      </c>
      <c r="B623" s="1">
        <v>40572</v>
      </c>
      <c r="C623">
        <v>1</v>
      </c>
      <c r="D623" t="str">
        <f>TEXT(mergedcleandataset[[#This Row],[dteday]],"yyyy")</f>
        <v>2011</v>
      </c>
      <c r="E623">
        <v>1</v>
      </c>
      <c r="F623">
        <v>13</v>
      </c>
      <c r="G623" t="b">
        <v>0</v>
      </c>
      <c r="H623">
        <v>6</v>
      </c>
      <c r="I623">
        <v>2</v>
      </c>
      <c r="J623">
        <v>0.22</v>
      </c>
      <c r="K623">
        <v>0.2273</v>
      </c>
      <c r="L623">
        <v>0.55000000000000004</v>
      </c>
      <c r="M623">
        <v>0.16420000000000001</v>
      </c>
      <c r="N623">
        <v>9</v>
      </c>
      <c r="O623">
        <v>56</v>
      </c>
      <c r="P623">
        <v>65</v>
      </c>
      <c r="Q623" s="2">
        <f>DATE(mergedcleandataset[[#This Row],[yr]],mergedcleandataset[[#This Row],[mnth]],mergedcleandataset[[#This Row],[day]])</f>
        <v>40572</v>
      </c>
      <c r="R623">
        <f>DAY(mergedcleandataset[[#This Row],[dteday]])</f>
        <v>29</v>
      </c>
      <c r="S623" t="str">
        <f>IF(mergedcleandataset[[#This Row],[weekday]]&gt;=5,"Yes","No")</f>
        <v>Yes</v>
      </c>
      <c r="T623" t="b">
        <f>ISBLANK(mergedcleandataset[[#This Row],[atemp]])</f>
        <v>0</v>
      </c>
      <c r="U623" t="str">
        <f t="shared" si="9"/>
        <v>Spring</v>
      </c>
      <c r="V623" t="str">
        <f>TEXT(mergedcleandataset[[#This Row],[date]],"dddd")</f>
        <v>Saturday</v>
      </c>
      <c r="W62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24" spans="1:23" x14ac:dyDescent="0.25">
      <c r="A624">
        <v>632</v>
      </c>
      <c r="B624" s="1">
        <v>40572</v>
      </c>
      <c r="C624">
        <v>1</v>
      </c>
      <c r="D624" t="str">
        <f>TEXT(mergedcleandataset[[#This Row],[dteday]],"yyyy")</f>
        <v>2011</v>
      </c>
      <c r="E624">
        <v>1</v>
      </c>
      <c r="F624">
        <v>14</v>
      </c>
      <c r="G624" t="b">
        <v>0</v>
      </c>
      <c r="H624">
        <v>6</v>
      </c>
      <c r="I624">
        <v>2</v>
      </c>
      <c r="J624">
        <v>0.22</v>
      </c>
      <c r="K624">
        <v>0.2273</v>
      </c>
      <c r="L624">
        <v>0.6</v>
      </c>
      <c r="M624">
        <v>0.1343</v>
      </c>
      <c r="N624">
        <v>10</v>
      </c>
      <c r="O624">
        <v>89</v>
      </c>
      <c r="P624">
        <v>99</v>
      </c>
      <c r="Q624" s="2">
        <f>DATE(mergedcleandataset[[#This Row],[yr]],mergedcleandataset[[#This Row],[mnth]],mergedcleandataset[[#This Row],[day]])</f>
        <v>40572</v>
      </c>
      <c r="R624">
        <f>DAY(mergedcleandataset[[#This Row],[dteday]])</f>
        <v>29</v>
      </c>
      <c r="S624" t="str">
        <f>IF(mergedcleandataset[[#This Row],[weekday]]&gt;=5,"Yes","No")</f>
        <v>Yes</v>
      </c>
      <c r="T624" t="b">
        <f>ISBLANK(mergedcleandataset[[#This Row],[atemp]])</f>
        <v>0</v>
      </c>
      <c r="U624" t="str">
        <f t="shared" si="9"/>
        <v>Spring</v>
      </c>
      <c r="V624" t="str">
        <f>TEXT(mergedcleandataset[[#This Row],[date]],"dddd")</f>
        <v>Saturday</v>
      </c>
      <c r="W62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25" spans="1:23" x14ac:dyDescent="0.25">
      <c r="A625">
        <v>633</v>
      </c>
      <c r="B625" s="1">
        <v>40572</v>
      </c>
      <c r="C625">
        <v>1</v>
      </c>
      <c r="D625" t="str">
        <f>TEXT(mergedcleandataset[[#This Row],[dteday]],"yyyy")</f>
        <v>2011</v>
      </c>
      <c r="E625">
        <v>1</v>
      </c>
      <c r="F625">
        <v>15</v>
      </c>
      <c r="G625" t="b">
        <v>0</v>
      </c>
      <c r="H625">
        <v>6</v>
      </c>
      <c r="I625">
        <v>1</v>
      </c>
      <c r="J625">
        <v>0.22</v>
      </c>
      <c r="K625">
        <v>0.21210000000000001</v>
      </c>
      <c r="L625">
        <v>0.69</v>
      </c>
      <c r="M625">
        <v>0.25369999999999998</v>
      </c>
      <c r="N625">
        <v>22</v>
      </c>
      <c r="O625">
        <v>98</v>
      </c>
      <c r="P625">
        <v>120</v>
      </c>
      <c r="Q625" s="2">
        <f>DATE(mergedcleandataset[[#This Row],[yr]],mergedcleandataset[[#This Row],[mnth]],mergedcleandataset[[#This Row],[day]])</f>
        <v>40572</v>
      </c>
      <c r="R625">
        <f>DAY(mergedcleandataset[[#This Row],[dteday]])</f>
        <v>29</v>
      </c>
      <c r="S625" t="str">
        <f>IF(mergedcleandataset[[#This Row],[weekday]]&gt;=5,"Yes","No")</f>
        <v>Yes</v>
      </c>
      <c r="T625" t="b">
        <f>ISBLANK(mergedcleandataset[[#This Row],[atemp]])</f>
        <v>0</v>
      </c>
      <c r="U625" t="str">
        <f t="shared" si="9"/>
        <v>Spring</v>
      </c>
      <c r="V625" t="str">
        <f>TEXT(mergedcleandataset[[#This Row],[date]],"dddd")</f>
        <v>Saturday</v>
      </c>
      <c r="W62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26" spans="1:23" x14ac:dyDescent="0.25">
      <c r="A626">
        <v>634</v>
      </c>
      <c r="B626" s="1">
        <v>40572</v>
      </c>
      <c r="C626">
        <v>1</v>
      </c>
      <c r="D626" t="str">
        <f>TEXT(mergedcleandataset[[#This Row],[dteday]],"yyyy")</f>
        <v>2011</v>
      </c>
      <c r="E626">
        <v>1</v>
      </c>
      <c r="F626">
        <v>16</v>
      </c>
      <c r="G626" t="b">
        <v>0</v>
      </c>
      <c r="H626">
        <v>6</v>
      </c>
      <c r="I626">
        <v>1</v>
      </c>
      <c r="J626">
        <v>0.24</v>
      </c>
      <c r="K626">
        <v>0.2424</v>
      </c>
      <c r="L626">
        <v>0.6</v>
      </c>
      <c r="M626">
        <v>0.16420000000000001</v>
      </c>
      <c r="N626">
        <v>19</v>
      </c>
      <c r="O626">
        <v>88</v>
      </c>
      <c r="P626">
        <v>107</v>
      </c>
      <c r="Q626" s="2">
        <f>DATE(mergedcleandataset[[#This Row],[yr]],mergedcleandataset[[#This Row],[mnth]],mergedcleandataset[[#This Row],[day]])</f>
        <v>40572</v>
      </c>
      <c r="R626">
        <f>DAY(mergedcleandataset[[#This Row],[dteday]])</f>
        <v>29</v>
      </c>
      <c r="S626" t="str">
        <f>IF(mergedcleandataset[[#This Row],[weekday]]&gt;=5,"Yes","No")</f>
        <v>Yes</v>
      </c>
      <c r="T626" t="b">
        <f>ISBLANK(mergedcleandataset[[#This Row],[atemp]])</f>
        <v>0</v>
      </c>
      <c r="U626" t="str">
        <f t="shared" si="9"/>
        <v>Spring</v>
      </c>
      <c r="V626" t="str">
        <f>TEXT(mergedcleandataset[[#This Row],[date]],"dddd")</f>
        <v>Saturday</v>
      </c>
      <c r="W6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27" spans="1:23" x14ac:dyDescent="0.25">
      <c r="A627">
        <v>635</v>
      </c>
      <c r="B627" s="1">
        <v>40572</v>
      </c>
      <c r="C627">
        <v>1</v>
      </c>
      <c r="D627" t="str">
        <f>TEXT(mergedcleandataset[[#This Row],[dteday]],"yyyy")</f>
        <v>2011</v>
      </c>
      <c r="E627">
        <v>1</v>
      </c>
      <c r="F627">
        <v>17</v>
      </c>
      <c r="G627" t="b">
        <v>0</v>
      </c>
      <c r="H627">
        <v>6</v>
      </c>
      <c r="I627">
        <v>1</v>
      </c>
      <c r="J627">
        <v>0.24</v>
      </c>
      <c r="K627">
        <v>0.28789999999999999</v>
      </c>
      <c r="L627">
        <v>0.6</v>
      </c>
      <c r="M627">
        <v>0</v>
      </c>
      <c r="N627">
        <v>9</v>
      </c>
      <c r="O627">
        <v>82</v>
      </c>
      <c r="P627">
        <v>91</v>
      </c>
      <c r="Q627" s="2">
        <f>DATE(mergedcleandataset[[#This Row],[yr]],mergedcleandataset[[#This Row],[mnth]],mergedcleandataset[[#This Row],[day]])</f>
        <v>40572</v>
      </c>
      <c r="R627">
        <f>DAY(mergedcleandataset[[#This Row],[dteday]])</f>
        <v>29</v>
      </c>
      <c r="S627" t="str">
        <f>IF(mergedcleandataset[[#This Row],[weekday]]&gt;=5,"Yes","No")</f>
        <v>Yes</v>
      </c>
      <c r="T627" t="b">
        <f>ISBLANK(mergedcleandataset[[#This Row],[atemp]])</f>
        <v>0</v>
      </c>
      <c r="U627" t="str">
        <f t="shared" si="9"/>
        <v>Spring</v>
      </c>
      <c r="V627" t="str">
        <f>TEXT(mergedcleandataset[[#This Row],[date]],"dddd")</f>
        <v>Saturday</v>
      </c>
      <c r="W6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28" spans="1:23" x14ac:dyDescent="0.25">
      <c r="A628">
        <v>636</v>
      </c>
      <c r="B628" s="1">
        <v>40572</v>
      </c>
      <c r="C628">
        <v>1</v>
      </c>
      <c r="D628" t="str">
        <f>TEXT(mergedcleandataset[[#This Row],[dteday]],"yyyy")</f>
        <v>2011</v>
      </c>
      <c r="E628">
        <v>1</v>
      </c>
      <c r="F628">
        <v>18</v>
      </c>
      <c r="G628" t="b">
        <v>0</v>
      </c>
      <c r="H628">
        <v>6</v>
      </c>
      <c r="I628">
        <v>1</v>
      </c>
      <c r="J628">
        <v>0.22</v>
      </c>
      <c r="K628">
        <v>0.2273</v>
      </c>
      <c r="L628">
        <v>0.69</v>
      </c>
      <c r="M628">
        <v>0.1343</v>
      </c>
      <c r="N628">
        <v>9</v>
      </c>
      <c r="O628">
        <v>59</v>
      </c>
      <c r="P628">
        <v>68</v>
      </c>
      <c r="Q628" s="2">
        <f>DATE(mergedcleandataset[[#This Row],[yr]],mergedcleandataset[[#This Row],[mnth]],mergedcleandataset[[#This Row],[day]])</f>
        <v>40572</v>
      </c>
      <c r="R628">
        <f>DAY(mergedcleandataset[[#This Row],[dteday]])</f>
        <v>29</v>
      </c>
      <c r="S628" t="str">
        <f>IF(mergedcleandataset[[#This Row],[weekday]]&gt;=5,"Yes","No")</f>
        <v>Yes</v>
      </c>
      <c r="T628" t="b">
        <f>ISBLANK(mergedcleandataset[[#This Row],[atemp]])</f>
        <v>0</v>
      </c>
      <c r="U628" t="str">
        <f t="shared" si="9"/>
        <v>Spring</v>
      </c>
      <c r="V628" t="str">
        <f>TEXT(mergedcleandataset[[#This Row],[date]],"dddd")</f>
        <v>Saturday</v>
      </c>
      <c r="W6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29" spans="1:23" x14ac:dyDescent="0.25">
      <c r="A629">
        <v>637</v>
      </c>
      <c r="B629" s="1">
        <v>40572</v>
      </c>
      <c r="C629">
        <v>1</v>
      </c>
      <c r="D629" t="str">
        <f>TEXT(mergedcleandataset[[#This Row],[dteday]],"yyyy")</f>
        <v>2011</v>
      </c>
      <c r="E629">
        <v>1</v>
      </c>
      <c r="F629">
        <v>19</v>
      </c>
      <c r="G629" t="b">
        <v>0</v>
      </c>
      <c r="H629">
        <v>6</v>
      </c>
      <c r="I629">
        <v>2</v>
      </c>
      <c r="J629">
        <v>0.22</v>
      </c>
      <c r="K629">
        <v>0.21210000000000001</v>
      </c>
      <c r="L629">
        <v>0.69</v>
      </c>
      <c r="M629">
        <v>0.25369999999999998</v>
      </c>
      <c r="N629">
        <v>6</v>
      </c>
      <c r="O629">
        <v>52</v>
      </c>
      <c r="P629">
        <v>58</v>
      </c>
      <c r="Q629" s="2">
        <f>DATE(mergedcleandataset[[#This Row],[yr]],mergedcleandataset[[#This Row],[mnth]],mergedcleandataset[[#This Row],[day]])</f>
        <v>40572</v>
      </c>
      <c r="R629">
        <f>DAY(mergedcleandataset[[#This Row],[dteday]])</f>
        <v>29</v>
      </c>
      <c r="S629" t="str">
        <f>IF(mergedcleandataset[[#This Row],[weekday]]&gt;=5,"Yes","No")</f>
        <v>Yes</v>
      </c>
      <c r="T629" t="b">
        <f>ISBLANK(mergedcleandataset[[#This Row],[atemp]])</f>
        <v>0</v>
      </c>
      <c r="U629" t="str">
        <f t="shared" si="9"/>
        <v>Spring</v>
      </c>
      <c r="V629" t="str">
        <f>TEXT(mergedcleandataset[[#This Row],[date]],"dddd")</f>
        <v>Saturday</v>
      </c>
      <c r="W62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30" spans="1:23" x14ac:dyDescent="0.25">
      <c r="A630">
        <v>638</v>
      </c>
      <c r="B630" s="1">
        <v>40572</v>
      </c>
      <c r="C630">
        <v>1</v>
      </c>
      <c r="D630" t="str">
        <f>TEXT(mergedcleandataset[[#This Row],[dteday]],"yyyy")</f>
        <v>2011</v>
      </c>
      <c r="E630">
        <v>1</v>
      </c>
      <c r="F630">
        <v>20</v>
      </c>
      <c r="G630" t="b">
        <v>0</v>
      </c>
      <c r="H630">
        <v>6</v>
      </c>
      <c r="I630">
        <v>1</v>
      </c>
      <c r="J630">
        <v>0.18</v>
      </c>
      <c r="K630">
        <v>0.21210000000000001</v>
      </c>
      <c r="L630">
        <v>0.74</v>
      </c>
      <c r="M630">
        <v>8.9599999999999999E-2</v>
      </c>
      <c r="N630">
        <v>1</v>
      </c>
      <c r="O630">
        <v>42</v>
      </c>
      <c r="P630">
        <v>43</v>
      </c>
      <c r="Q630" s="2">
        <f>DATE(mergedcleandataset[[#This Row],[yr]],mergedcleandataset[[#This Row],[mnth]],mergedcleandataset[[#This Row],[day]])</f>
        <v>40572</v>
      </c>
      <c r="R630">
        <f>DAY(mergedcleandataset[[#This Row],[dteday]])</f>
        <v>29</v>
      </c>
      <c r="S630" t="str">
        <f>IF(mergedcleandataset[[#This Row],[weekday]]&gt;=5,"Yes","No")</f>
        <v>Yes</v>
      </c>
      <c r="T630" t="b">
        <f>ISBLANK(mergedcleandataset[[#This Row],[atemp]])</f>
        <v>0</v>
      </c>
      <c r="U630" t="str">
        <f t="shared" si="9"/>
        <v>Spring</v>
      </c>
      <c r="V630" t="str">
        <f>TEXT(mergedcleandataset[[#This Row],[date]],"dddd")</f>
        <v>Saturday</v>
      </c>
      <c r="W6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1" spans="1:23" x14ac:dyDescent="0.25">
      <c r="A631">
        <v>639</v>
      </c>
      <c r="B631" s="1">
        <v>40572</v>
      </c>
      <c r="C631">
        <v>1</v>
      </c>
      <c r="D631" t="str">
        <f>TEXT(mergedcleandataset[[#This Row],[dteday]],"yyyy")</f>
        <v>2011</v>
      </c>
      <c r="E631">
        <v>1</v>
      </c>
      <c r="F631">
        <v>21</v>
      </c>
      <c r="G631" t="b">
        <v>0</v>
      </c>
      <c r="H631">
        <v>6</v>
      </c>
      <c r="I631">
        <v>1</v>
      </c>
      <c r="J631">
        <v>0.18</v>
      </c>
      <c r="K631">
        <v>0.21210000000000001</v>
      </c>
      <c r="L631">
        <v>0.74</v>
      </c>
      <c r="M631">
        <v>8.9599999999999999E-2</v>
      </c>
      <c r="N631">
        <v>1</v>
      </c>
      <c r="O631">
        <v>35</v>
      </c>
      <c r="P631">
        <v>36</v>
      </c>
      <c r="Q631" s="2">
        <f>DATE(mergedcleandataset[[#This Row],[yr]],mergedcleandataset[[#This Row],[mnth]],mergedcleandataset[[#This Row],[day]])</f>
        <v>40572</v>
      </c>
      <c r="R631">
        <f>DAY(mergedcleandataset[[#This Row],[dteday]])</f>
        <v>29</v>
      </c>
      <c r="S631" t="str">
        <f>IF(mergedcleandataset[[#This Row],[weekday]]&gt;=5,"Yes","No")</f>
        <v>Yes</v>
      </c>
      <c r="T631" t="b">
        <f>ISBLANK(mergedcleandataset[[#This Row],[atemp]])</f>
        <v>0</v>
      </c>
      <c r="U631" t="str">
        <f t="shared" si="9"/>
        <v>Spring</v>
      </c>
      <c r="V631" t="str">
        <f>TEXT(mergedcleandataset[[#This Row],[date]],"dddd")</f>
        <v>Saturday</v>
      </c>
      <c r="W6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2" spans="1:23" x14ac:dyDescent="0.25">
      <c r="A632">
        <v>640</v>
      </c>
      <c r="B632" s="1">
        <v>40572</v>
      </c>
      <c r="C632">
        <v>1</v>
      </c>
      <c r="D632" t="str">
        <f>TEXT(mergedcleandataset[[#This Row],[dteday]],"yyyy")</f>
        <v>2011</v>
      </c>
      <c r="E632">
        <v>1</v>
      </c>
      <c r="F632">
        <v>22</v>
      </c>
      <c r="G632" t="b">
        <v>0</v>
      </c>
      <c r="H632">
        <v>6</v>
      </c>
      <c r="I632">
        <v>1</v>
      </c>
      <c r="J632">
        <v>0.16</v>
      </c>
      <c r="K632">
        <v>0.19700000000000001</v>
      </c>
      <c r="L632">
        <v>0.8</v>
      </c>
      <c r="M632">
        <v>8.9599999999999999E-2</v>
      </c>
      <c r="N632">
        <v>4</v>
      </c>
      <c r="O632">
        <v>28</v>
      </c>
      <c r="P632">
        <v>32</v>
      </c>
      <c r="Q632" s="2">
        <f>DATE(mergedcleandataset[[#This Row],[yr]],mergedcleandataset[[#This Row],[mnth]],mergedcleandataset[[#This Row],[day]])</f>
        <v>40572</v>
      </c>
      <c r="R632">
        <f>DAY(mergedcleandataset[[#This Row],[dteday]])</f>
        <v>29</v>
      </c>
      <c r="S632" t="str">
        <f>IF(mergedcleandataset[[#This Row],[weekday]]&gt;=5,"Yes","No")</f>
        <v>Yes</v>
      </c>
      <c r="T632" t="b">
        <f>ISBLANK(mergedcleandataset[[#This Row],[atemp]])</f>
        <v>0</v>
      </c>
      <c r="U632" t="str">
        <f t="shared" si="9"/>
        <v>Spring</v>
      </c>
      <c r="V632" t="str">
        <f>TEXT(mergedcleandataset[[#This Row],[date]],"dddd")</f>
        <v>Saturday</v>
      </c>
      <c r="W6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3" spans="1:23" x14ac:dyDescent="0.25">
      <c r="A633">
        <v>641</v>
      </c>
      <c r="B633" s="1">
        <v>40572</v>
      </c>
      <c r="C633">
        <v>1</v>
      </c>
      <c r="D633" t="str">
        <f>TEXT(mergedcleandataset[[#This Row],[dteday]],"yyyy")</f>
        <v>2011</v>
      </c>
      <c r="E633">
        <v>1</v>
      </c>
      <c r="F633">
        <v>23</v>
      </c>
      <c r="G633" t="b">
        <v>0</v>
      </c>
      <c r="H633">
        <v>6</v>
      </c>
      <c r="I633">
        <v>1</v>
      </c>
      <c r="J633">
        <v>0.16</v>
      </c>
      <c r="K633">
        <v>0.19700000000000001</v>
      </c>
      <c r="L633">
        <v>0.8</v>
      </c>
      <c r="M633">
        <v>8.9599999999999999E-2</v>
      </c>
      <c r="N633">
        <v>3</v>
      </c>
      <c r="O633">
        <v>30</v>
      </c>
      <c r="P633">
        <v>33</v>
      </c>
      <c r="Q633" s="2">
        <f>DATE(mergedcleandataset[[#This Row],[yr]],mergedcleandataset[[#This Row],[mnth]],mergedcleandataset[[#This Row],[day]])</f>
        <v>40572</v>
      </c>
      <c r="R633">
        <f>DAY(mergedcleandataset[[#This Row],[dteday]])</f>
        <v>29</v>
      </c>
      <c r="S633" t="str">
        <f>IF(mergedcleandataset[[#This Row],[weekday]]&gt;=5,"Yes","No")</f>
        <v>Yes</v>
      </c>
      <c r="T633" t="b">
        <f>ISBLANK(mergedcleandataset[[#This Row],[atemp]])</f>
        <v>0</v>
      </c>
      <c r="U633" t="str">
        <f t="shared" si="9"/>
        <v>Spring</v>
      </c>
      <c r="V633" t="str">
        <f>TEXT(mergedcleandataset[[#This Row],[date]],"dddd")</f>
        <v>Saturday</v>
      </c>
      <c r="W6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4" spans="1:23" x14ac:dyDescent="0.25">
      <c r="A634">
        <v>642</v>
      </c>
      <c r="B634" s="1">
        <v>40573</v>
      </c>
      <c r="C634">
        <v>1</v>
      </c>
      <c r="D634" t="str">
        <f>TEXT(mergedcleandataset[[#This Row],[dteday]],"yyyy")</f>
        <v>2011</v>
      </c>
      <c r="E634">
        <v>1</v>
      </c>
      <c r="F634">
        <v>0</v>
      </c>
      <c r="G634" t="b">
        <v>0</v>
      </c>
      <c r="H634">
        <v>0</v>
      </c>
      <c r="I634">
        <v>1</v>
      </c>
      <c r="J634">
        <v>0.16</v>
      </c>
      <c r="K634">
        <v>0.18179999999999999</v>
      </c>
      <c r="L634">
        <v>0.8</v>
      </c>
      <c r="M634">
        <v>0.1045</v>
      </c>
      <c r="N634">
        <v>0</v>
      </c>
      <c r="O634">
        <v>33</v>
      </c>
      <c r="P634">
        <v>33</v>
      </c>
      <c r="Q634" s="2">
        <f>DATE(mergedcleandataset[[#This Row],[yr]],mergedcleandataset[[#This Row],[mnth]],mergedcleandataset[[#This Row],[day]])</f>
        <v>40573</v>
      </c>
      <c r="R634">
        <f>DAY(mergedcleandataset[[#This Row],[dteday]])</f>
        <v>30</v>
      </c>
      <c r="S634" t="str">
        <f>IF(mergedcleandataset[[#This Row],[weekday]]&gt;=5,"Yes","No")</f>
        <v>No</v>
      </c>
      <c r="T634" t="b">
        <f>ISBLANK(mergedcleandataset[[#This Row],[atemp]])</f>
        <v>0</v>
      </c>
      <c r="U634" t="str">
        <f t="shared" si="9"/>
        <v>Spring</v>
      </c>
      <c r="V634" t="str">
        <f>TEXT(mergedcleandataset[[#This Row],[date]],"dddd")</f>
        <v>Sunday</v>
      </c>
      <c r="W6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5" spans="1:23" x14ac:dyDescent="0.25">
      <c r="A635">
        <v>643</v>
      </c>
      <c r="B635" s="1">
        <v>40573</v>
      </c>
      <c r="C635">
        <v>1</v>
      </c>
      <c r="D635" t="str">
        <f>TEXT(mergedcleandataset[[#This Row],[dteday]],"yyyy")</f>
        <v>2011</v>
      </c>
      <c r="E635">
        <v>1</v>
      </c>
      <c r="F635">
        <v>1</v>
      </c>
      <c r="G635" t="b">
        <v>0</v>
      </c>
      <c r="H635">
        <v>0</v>
      </c>
      <c r="I635">
        <v>1</v>
      </c>
      <c r="J635">
        <v>0.14000000000000001</v>
      </c>
      <c r="K635">
        <v>0.21210000000000001</v>
      </c>
      <c r="L635">
        <v>0.8</v>
      </c>
      <c r="M635">
        <v>0</v>
      </c>
      <c r="N635">
        <v>7</v>
      </c>
      <c r="O635">
        <v>22</v>
      </c>
      <c r="P635">
        <v>29</v>
      </c>
      <c r="Q635" s="2">
        <f>DATE(mergedcleandataset[[#This Row],[yr]],mergedcleandataset[[#This Row],[mnth]],mergedcleandataset[[#This Row],[day]])</f>
        <v>40573</v>
      </c>
      <c r="R635">
        <f>DAY(mergedcleandataset[[#This Row],[dteday]])</f>
        <v>30</v>
      </c>
      <c r="S635" t="str">
        <f>IF(mergedcleandataset[[#This Row],[weekday]]&gt;=5,"Yes","No")</f>
        <v>No</v>
      </c>
      <c r="T635" t="b">
        <f>ISBLANK(mergedcleandataset[[#This Row],[atemp]])</f>
        <v>0</v>
      </c>
      <c r="U635" t="str">
        <f t="shared" si="9"/>
        <v>Spring</v>
      </c>
      <c r="V635" t="str">
        <f>TEXT(mergedcleandataset[[#This Row],[date]],"dddd")</f>
        <v>Sunday</v>
      </c>
      <c r="W6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6" spans="1:23" x14ac:dyDescent="0.25">
      <c r="A636">
        <v>644</v>
      </c>
      <c r="B636" s="1">
        <v>40573</v>
      </c>
      <c r="C636">
        <v>1</v>
      </c>
      <c r="D636" t="str">
        <f>TEXT(mergedcleandataset[[#This Row],[dteday]],"yyyy")</f>
        <v>2011</v>
      </c>
      <c r="E636">
        <v>1</v>
      </c>
      <c r="F636">
        <v>2</v>
      </c>
      <c r="G636" t="b">
        <v>0</v>
      </c>
      <c r="H636">
        <v>0</v>
      </c>
      <c r="I636">
        <v>1</v>
      </c>
      <c r="J636">
        <v>0.16</v>
      </c>
      <c r="K636">
        <v>0.2273</v>
      </c>
      <c r="L636">
        <v>0.8</v>
      </c>
      <c r="M636">
        <v>0</v>
      </c>
      <c r="N636">
        <v>1</v>
      </c>
      <c r="O636">
        <v>10</v>
      </c>
      <c r="P636">
        <v>11</v>
      </c>
      <c r="Q636" s="2">
        <f>DATE(mergedcleandataset[[#This Row],[yr]],mergedcleandataset[[#This Row],[mnth]],mergedcleandataset[[#This Row],[day]])</f>
        <v>40573</v>
      </c>
      <c r="R636">
        <f>DAY(mergedcleandataset[[#This Row],[dteday]])</f>
        <v>30</v>
      </c>
      <c r="S636" t="str">
        <f>IF(mergedcleandataset[[#This Row],[weekday]]&gt;=5,"Yes","No")</f>
        <v>No</v>
      </c>
      <c r="T636" t="b">
        <f>ISBLANK(mergedcleandataset[[#This Row],[atemp]])</f>
        <v>0</v>
      </c>
      <c r="U636" t="str">
        <f t="shared" si="9"/>
        <v>Spring</v>
      </c>
      <c r="V636" t="str">
        <f>TEXT(mergedcleandataset[[#This Row],[date]],"dddd")</f>
        <v>Sunday</v>
      </c>
      <c r="W6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7" spans="1:23" x14ac:dyDescent="0.25">
      <c r="A637">
        <v>645</v>
      </c>
      <c r="B637" s="1">
        <v>40573</v>
      </c>
      <c r="C637">
        <v>1</v>
      </c>
      <c r="D637" t="str">
        <f>TEXT(mergedcleandataset[[#This Row],[dteday]],"yyyy")</f>
        <v>2011</v>
      </c>
      <c r="E637">
        <v>1</v>
      </c>
      <c r="F637">
        <v>3</v>
      </c>
      <c r="G637" t="b">
        <v>0</v>
      </c>
      <c r="H637">
        <v>0</v>
      </c>
      <c r="I637">
        <v>1</v>
      </c>
      <c r="J637">
        <v>0.14000000000000001</v>
      </c>
      <c r="K637">
        <v>0.21210000000000001</v>
      </c>
      <c r="L637">
        <v>0.93</v>
      </c>
      <c r="M637">
        <v>0</v>
      </c>
      <c r="N637">
        <v>1</v>
      </c>
      <c r="O637">
        <v>7</v>
      </c>
      <c r="P637">
        <v>8</v>
      </c>
      <c r="Q637" s="2">
        <f>DATE(mergedcleandataset[[#This Row],[yr]],mergedcleandataset[[#This Row],[mnth]],mergedcleandataset[[#This Row],[day]])</f>
        <v>40573</v>
      </c>
      <c r="R637">
        <f>DAY(mergedcleandataset[[#This Row],[dteday]])</f>
        <v>30</v>
      </c>
      <c r="S637" t="str">
        <f>IF(mergedcleandataset[[#This Row],[weekday]]&gt;=5,"Yes","No")</f>
        <v>No</v>
      </c>
      <c r="T637" t="b">
        <f>ISBLANK(mergedcleandataset[[#This Row],[atemp]])</f>
        <v>0</v>
      </c>
      <c r="U637" t="str">
        <f t="shared" si="9"/>
        <v>Spring</v>
      </c>
      <c r="V637" t="str">
        <f>TEXT(mergedcleandataset[[#This Row],[date]],"dddd")</f>
        <v>Sunday</v>
      </c>
      <c r="W63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8" spans="1:23" x14ac:dyDescent="0.25">
      <c r="A638">
        <v>646</v>
      </c>
      <c r="B638" s="1">
        <v>40573</v>
      </c>
      <c r="C638">
        <v>1</v>
      </c>
      <c r="D638" t="str">
        <f>TEXT(mergedcleandataset[[#This Row],[dteday]],"yyyy")</f>
        <v>2011</v>
      </c>
      <c r="E638">
        <v>1</v>
      </c>
      <c r="F638">
        <v>4</v>
      </c>
      <c r="G638" t="b">
        <v>0</v>
      </c>
      <c r="H638">
        <v>0</v>
      </c>
      <c r="I638">
        <v>1</v>
      </c>
      <c r="J638">
        <v>0.14000000000000001</v>
      </c>
      <c r="K638">
        <v>0.21210000000000001</v>
      </c>
      <c r="L638">
        <v>0.93</v>
      </c>
      <c r="M638">
        <v>0</v>
      </c>
      <c r="N638">
        <v>0</v>
      </c>
      <c r="O638">
        <v>1</v>
      </c>
      <c r="P638">
        <v>1</v>
      </c>
      <c r="Q638" s="2">
        <f>DATE(mergedcleandataset[[#This Row],[yr]],mergedcleandataset[[#This Row],[mnth]],mergedcleandataset[[#This Row],[day]])</f>
        <v>40573</v>
      </c>
      <c r="R638">
        <f>DAY(mergedcleandataset[[#This Row],[dteday]])</f>
        <v>30</v>
      </c>
      <c r="S638" t="str">
        <f>IF(mergedcleandataset[[#This Row],[weekday]]&gt;=5,"Yes","No")</f>
        <v>No</v>
      </c>
      <c r="T638" t="b">
        <f>ISBLANK(mergedcleandataset[[#This Row],[atemp]])</f>
        <v>0</v>
      </c>
      <c r="U638" t="str">
        <f t="shared" si="9"/>
        <v>Spring</v>
      </c>
      <c r="V638" t="str">
        <f>TEXT(mergedcleandataset[[#This Row],[date]],"dddd")</f>
        <v>Sunday</v>
      </c>
      <c r="W63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39" spans="1:23" x14ac:dyDescent="0.25">
      <c r="A639">
        <v>647</v>
      </c>
      <c r="B639" s="1">
        <v>40573</v>
      </c>
      <c r="C639">
        <v>1</v>
      </c>
      <c r="D639" t="str">
        <f>TEXT(mergedcleandataset[[#This Row],[dteday]],"yyyy")</f>
        <v>2011</v>
      </c>
      <c r="E639">
        <v>1</v>
      </c>
      <c r="F639">
        <v>5</v>
      </c>
      <c r="G639" t="b">
        <v>0</v>
      </c>
      <c r="H639">
        <v>0</v>
      </c>
      <c r="I639">
        <v>1</v>
      </c>
      <c r="J639">
        <v>0.14000000000000001</v>
      </c>
      <c r="K639">
        <v>0.21210000000000001</v>
      </c>
      <c r="L639">
        <v>0.86</v>
      </c>
      <c r="M639">
        <v>0</v>
      </c>
      <c r="N639">
        <v>0</v>
      </c>
      <c r="O639">
        <v>3</v>
      </c>
      <c r="P639">
        <v>3</v>
      </c>
      <c r="Q639" s="2">
        <f>DATE(mergedcleandataset[[#This Row],[yr]],mergedcleandataset[[#This Row],[mnth]],mergedcleandataset[[#This Row],[day]])</f>
        <v>40573</v>
      </c>
      <c r="R639">
        <f>DAY(mergedcleandataset[[#This Row],[dteday]])</f>
        <v>30</v>
      </c>
      <c r="S639" t="str">
        <f>IF(mergedcleandataset[[#This Row],[weekday]]&gt;=5,"Yes","No")</f>
        <v>No</v>
      </c>
      <c r="T639" t="b">
        <f>ISBLANK(mergedcleandataset[[#This Row],[atemp]])</f>
        <v>0</v>
      </c>
      <c r="U639" t="str">
        <f t="shared" si="9"/>
        <v>Spring</v>
      </c>
      <c r="V639" t="str">
        <f>TEXT(mergedcleandataset[[#This Row],[date]],"dddd")</f>
        <v>Sunday</v>
      </c>
      <c r="W63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0" spans="1:23" x14ac:dyDescent="0.25">
      <c r="A640">
        <v>648</v>
      </c>
      <c r="B640" s="1">
        <v>40573</v>
      </c>
      <c r="C640">
        <v>1</v>
      </c>
      <c r="D640" t="str">
        <f>TEXT(mergedcleandataset[[#This Row],[dteday]],"yyyy")</f>
        <v>2011</v>
      </c>
      <c r="E640">
        <v>1</v>
      </c>
      <c r="F640">
        <v>7</v>
      </c>
      <c r="G640" t="b">
        <v>0</v>
      </c>
      <c r="H640">
        <v>0</v>
      </c>
      <c r="I640">
        <v>1</v>
      </c>
      <c r="J640">
        <v>0.14000000000000001</v>
      </c>
      <c r="K640">
        <v>0.21210000000000001</v>
      </c>
      <c r="L640">
        <v>0.86</v>
      </c>
      <c r="M640">
        <v>0</v>
      </c>
      <c r="N640">
        <v>0</v>
      </c>
      <c r="O640">
        <v>3</v>
      </c>
      <c r="P640">
        <v>3</v>
      </c>
      <c r="Q640" s="2">
        <f>DATE(mergedcleandataset[[#This Row],[yr]],mergedcleandataset[[#This Row],[mnth]],mergedcleandataset[[#This Row],[day]])</f>
        <v>40573</v>
      </c>
      <c r="R640">
        <f>DAY(mergedcleandataset[[#This Row],[dteday]])</f>
        <v>30</v>
      </c>
      <c r="S640" t="str">
        <f>IF(mergedcleandataset[[#This Row],[weekday]]&gt;=5,"Yes","No")</f>
        <v>No</v>
      </c>
      <c r="T640" t="b">
        <f>ISBLANK(mergedcleandataset[[#This Row],[atemp]])</f>
        <v>0</v>
      </c>
      <c r="U640" t="str">
        <f t="shared" si="9"/>
        <v>Spring</v>
      </c>
      <c r="V640" t="str">
        <f>TEXT(mergedcleandataset[[#This Row],[date]],"dddd")</f>
        <v>Sunday</v>
      </c>
      <c r="W64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1" spans="1:23" x14ac:dyDescent="0.25">
      <c r="A641">
        <v>649</v>
      </c>
      <c r="B641" s="1">
        <v>40573</v>
      </c>
      <c r="C641">
        <v>1</v>
      </c>
      <c r="D641" t="str">
        <f>TEXT(mergedcleandataset[[#This Row],[dteday]],"yyyy")</f>
        <v>2011</v>
      </c>
      <c r="E641">
        <v>1</v>
      </c>
      <c r="F641">
        <v>8</v>
      </c>
      <c r="G641" t="b">
        <v>0</v>
      </c>
      <c r="H641">
        <v>0</v>
      </c>
      <c r="I641">
        <v>2</v>
      </c>
      <c r="J641">
        <v>0.14000000000000001</v>
      </c>
      <c r="K641">
        <v>0.21210000000000001</v>
      </c>
      <c r="L641">
        <v>0.86</v>
      </c>
      <c r="M641">
        <v>0</v>
      </c>
      <c r="N641">
        <v>1</v>
      </c>
      <c r="O641">
        <v>11</v>
      </c>
      <c r="P641">
        <v>12</v>
      </c>
      <c r="Q641" s="2">
        <f>DATE(mergedcleandataset[[#This Row],[yr]],mergedcleandataset[[#This Row],[mnth]],mergedcleandataset[[#This Row],[day]])</f>
        <v>40573</v>
      </c>
      <c r="R641">
        <f>DAY(mergedcleandataset[[#This Row],[dteday]])</f>
        <v>30</v>
      </c>
      <c r="S641" t="str">
        <f>IF(mergedcleandataset[[#This Row],[weekday]]&gt;=5,"Yes","No")</f>
        <v>No</v>
      </c>
      <c r="T641" t="b">
        <f>ISBLANK(mergedcleandataset[[#This Row],[atemp]])</f>
        <v>0</v>
      </c>
      <c r="U641" t="str">
        <f t="shared" si="9"/>
        <v>Spring</v>
      </c>
      <c r="V641" t="str">
        <f>TEXT(mergedcleandataset[[#This Row],[date]],"dddd")</f>
        <v>Sunday</v>
      </c>
      <c r="W64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42" spans="1:23" x14ac:dyDescent="0.25">
      <c r="A642">
        <v>650</v>
      </c>
      <c r="B642" s="1">
        <v>40573</v>
      </c>
      <c r="C642">
        <v>1</v>
      </c>
      <c r="D642" t="str">
        <f>TEXT(mergedcleandataset[[#This Row],[dteday]],"yyyy")</f>
        <v>2011</v>
      </c>
      <c r="E642">
        <v>1</v>
      </c>
      <c r="F642">
        <v>9</v>
      </c>
      <c r="G642" t="b">
        <v>0</v>
      </c>
      <c r="H642">
        <v>0</v>
      </c>
      <c r="I642">
        <v>2</v>
      </c>
      <c r="J642">
        <v>0.16</v>
      </c>
      <c r="K642">
        <v>0.2273</v>
      </c>
      <c r="L642">
        <v>0.8</v>
      </c>
      <c r="M642">
        <v>0</v>
      </c>
      <c r="N642">
        <v>4</v>
      </c>
      <c r="O642">
        <v>34</v>
      </c>
      <c r="P642">
        <v>38</v>
      </c>
      <c r="Q642" s="2">
        <f>DATE(mergedcleandataset[[#This Row],[yr]],mergedcleandataset[[#This Row],[mnth]],mergedcleandataset[[#This Row],[day]])</f>
        <v>40573</v>
      </c>
      <c r="R642">
        <f>DAY(mergedcleandataset[[#This Row],[dteday]])</f>
        <v>30</v>
      </c>
      <c r="S642" t="str">
        <f>IF(mergedcleandataset[[#This Row],[weekday]]&gt;=5,"Yes","No")</f>
        <v>No</v>
      </c>
      <c r="T642" t="b">
        <f>ISBLANK(mergedcleandataset[[#This Row],[atemp]])</f>
        <v>0</v>
      </c>
      <c r="U642" t="str">
        <f t="shared" ref="U642:U705" si="10">IF(C642=1,"Spring",
IF(C642=2,"Summer",
IF(C642=3,"Fall",
IF(C642=4,"Winter","Unknown"))))</f>
        <v>Spring</v>
      </c>
      <c r="V642" t="str">
        <f>TEXT(mergedcleandataset[[#This Row],[date]],"dddd")</f>
        <v>Sunday</v>
      </c>
      <c r="W64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43" spans="1:23" x14ac:dyDescent="0.25">
      <c r="A643">
        <v>651</v>
      </c>
      <c r="B643" s="1">
        <v>40573</v>
      </c>
      <c r="C643">
        <v>1</v>
      </c>
      <c r="D643" t="str">
        <f>TEXT(mergedcleandataset[[#This Row],[dteday]],"yyyy")</f>
        <v>2011</v>
      </c>
      <c r="E643">
        <v>1</v>
      </c>
      <c r="F643">
        <v>10</v>
      </c>
      <c r="G643" t="b">
        <v>0</v>
      </c>
      <c r="H643">
        <v>0</v>
      </c>
      <c r="I643">
        <v>2</v>
      </c>
      <c r="J643">
        <v>0.18</v>
      </c>
      <c r="K643">
        <v>0.2424</v>
      </c>
      <c r="L643">
        <v>0.8</v>
      </c>
      <c r="M643">
        <v>0</v>
      </c>
      <c r="N643">
        <v>7</v>
      </c>
      <c r="O643">
        <v>57</v>
      </c>
      <c r="P643">
        <v>64</v>
      </c>
      <c r="Q643" s="2">
        <f>DATE(mergedcleandataset[[#This Row],[yr]],mergedcleandataset[[#This Row],[mnth]],mergedcleandataset[[#This Row],[day]])</f>
        <v>40573</v>
      </c>
      <c r="R643">
        <f>DAY(mergedcleandataset[[#This Row],[dteday]])</f>
        <v>30</v>
      </c>
      <c r="S643" t="str">
        <f>IF(mergedcleandataset[[#This Row],[weekday]]&gt;=5,"Yes","No")</f>
        <v>No</v>
      </c>
      <c r="T643" t="b">
        <f>ISBLANK(mergedcleandataset[[#This Row],[atemp]])</f>
        <v>0</v>
      </c>
      <c r="U643" t="str">
        <f t="shared" si="10"/>
        <v>Spring</v>
      </c>
      <c r="V643" t="str">
        <f>TEXT(mergedcleandataset[[#This Row],[date]],"dddd")</f>
        <v>Sunday</v>
      </c>
      <c r="W64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44" spans="1:23" x14ac:dyDescent="0.25">
      <c r="A644">
        <v>652</v>
      </c>
      <c r="B644" s="1">
        <v>40573</v>
      </c>
      <c r="C644">
        <v>1</v>
      </c>
      <c r="D644" t="str">
        <f>TEXT(mergedcleandataset[[#This Row],[dteday]],"yyyy")</f>
        <v>2011</v>
      </c>
      <c r="E644">
        <v>1</v>
      </c>
      <c r="F644">
        <v>11</v>
      </c>
      <c r="G644" t="b">
        <v>0</v>
      </c>
      <c r="H644">
        <v>0</v>
      </c>
      <c r="I644">
        <v>1</v>
      </c>
      <c r="J644">
        <v>0.22</v>
      </c>
      <c r="K644">
        <v>0.2727</v>
      </c>
      <c r="L644">
        <v>0.75</v>
      </c>
      <c r="M644">
        <v>0</v>
      </c>
      <c r="N644">
        <v>9</v>
      </c>
      <c r="O644">
        <v>50</v>
      </c>
      <c r="P644">
        <v>59</v>
      </c>
      <c r="Q644" s="2">
        <f>DATE(mergedcleandataset[[#This Row],[yr]],mergedcleandataset[[#This Row],[mnth]],mergedcleandataset[[#This Row],[day]])</f>
        <v>40573</v>
      </c>
      <c r="R644">
        <f>DAY(mergedcleandataset[[#This Row],[dteday]])</f>
        <v>30</v>
      </c>
      <c r="S644" t="str">
        <f>IF(mergedcleandataset[[#This Row],[weekday]]&gt;=5,"Yes","No")</f>
        <v>No</v>
      </c>
      <c r="T644" t="b">
        <f>ISBLANK(mergedcleandataset[[#This Row],[atemp]])</f>
        <v>0</v>
      </c>
      <c r="U644" t="str">
        <f t="shared" si="10"/>
        <v>Spring</v>
      </c>
      <c r="V644" t="str">
        <f>TEXT(mergedcleandataset[[#This Row],[date]],"dddd")</f>
        <v>Sunday</v>
      </c>
      <c r="W64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5" spans="1:23" x14ac:dyDescent="0.25">
      <c r="A645">
        <v>653</v>
      </c>
      <c r="B645" s="1">
        <v>40573</v>
      </c>
      <c r="C645">
        <v>1</v>
      </c>
      <c r="D645" t="str">
        <f>TEXT(mergedcleandataset[[#This Row],[dteday]],"yyyy")</f>
        <v>2011</v>
      </c>
      <c r="E645">
        <v>1</v>
      </c>
      <c r="F645">
        <v>12</v>
      </c>
      <c r="G645" t="b">
        <v>0</v>
      </c>
      <c r="H645">
        <v>0</v>
      </c>
      <c r="I645">
        <v>1</v>
      </c>
      <c r="J645">
        <v>0.3</v>
      </c>
      <c r="K645">
        <v>0.31819999999999998</v>
      </c>
      <c r="L645">
        <v>0.52</v>
      </c>
      <c r="M645">
        <v>0.1045</v>
      </c>
      <c r="N645">
        <v>10</v>
      </c>
      <c r="O645">
        <v>87</v>
      </c>
      <c r="P645">
        <v>97</v>
      </c>
      <c r="Q645" s="2">
        <f>DATE(mergedcleandataset[[#This Row],[yr]],mergedcleandataset[[#This Row],[mnth]],mergedcleandataset[[#This Row],[day]])</f>
        <v>40573</v>
      </c>
      <c r="R645">
        <f>DAY(mergedcleandataset[[#This Row],[dteday]])</f>
        <v>30</v>
      </c>
      <c r="S645" t="str">
        <f>IF(mergedcleandataset[[#This Row],[weekday]]&gt;=5,"Yes","No")</f>
        <v>No</v>
      </c>
      <c r="T645" t="b">
        <f>ISBLANK(mergedcleandataset[[#This Row],[atemp]])</f>
        <v>0</v>
      </c>
      <c r="U645" t="str">
        <f t="shared" si="10"/>
        <v>Spring</v>
      </c>
      <c r="V645" t="str">
        <f>TEXT(mergedcleandataset[[#This Row],[date]],"dddd")</f>
        <v>Sunday</v>
      </c>
      <c r="W64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6" spans="1:23" x14ac:dyDescent="0.25">
      <c r="A646">
        <v>654</v>
      </c>
      <c r="B646" s="1">
        <v>40573</v>
      </c>
      <c r="C646">
        <v>1</v>
      </c>
      <c r="D646" t="str">
        <f>TEXT(mergedcleandataset[[#This Row],[dteday]],"yyyy")</f>
        <v>2011</v>
      </c>
      <c r="E646">
        <v>1</v>
      </c>
      <c r="F646">
        <v>13</v>
      </c>
      <c r="G646" t="b">
        <v>0</v>
      </c>
      <c r="H646">
        <v>0</v>
      </c>
      <c r="I646">
        <v>1</v>
      </c>
      <c r="J646">
        <v>0.28000000000000003</v>
      </c>
      <c r="K646">
        <v>0.28789999999999999</v>
      </c>
      <c r="L646">
        <v>0.61</v>
      </c>
      <c r="M646">
        <v>0.1045</v>
      </c>
      <c r="N646">
        <v>13</v>
      </c>
      <c r="O646">
        <v>71</v>
      </c>
      <c r="P646">
        <v>84</v>
      </c>
      <c r="Q646" s="2">
        <f>DATE(mergedcleandataset[[#This Row],[yr]],mergedcleandataset[[#This Row],[mnth]],mergedcleandataset[[#This Row],[day]])</f>
        <v>40573</v>
      </c>
      <c r="R646">
        <f>DAY(mergedcleandataset[[#This Row],[dteday]])</f>
        <v>30</v>
      </c>
      <c r="S646" t="str">
        <f>IF(mergedcleandataset[[#This Row],[weekday]]&gt;=5,"Yes","No")</f>
        <v>No</v>
      </c>
      <c r="T646" t="b">
        <f>ISBLANK(mergedcleandataset[[#This Row],[atemp]])</f>
        <v>0</v>
      </c>
      <c r="U646" t="str">
        <f t="shared" si="10"/>
        <v>Spring</v>
      </c>
      <c r="V646" t="str">
        <f>TEXT(mergedcleandataset[[#This Row],[date]],"dddd")</f>
        <v>Sunday</v>
      </c>
      <c r="W64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7" spans="1:23" x14ac:dyDescent="0.25">
      <c r="A647">
        <v>655</v>
      </c>
      <c r="B647" s="1">
        <v>40573</v>
      </c>
      <c r="C647">
        <v>1</v>
      </c>
      <c r="D647" t="str">
        <f>TEXT(mergedcleandataset[[#This Row],[dteday]],"yyyy")</f>
        <v>2011</v>
      </c>
      <c r="E647">
        <v>1</v>
      </c>
      <c r="F647">
        <v>14</v>
      </c>
      <c r="G647" t="b">
        <v>0</v>
      </c>
      <c r="H647">
        <v>0</v>
      </c>
      <c r="I647">
        <v>1</v>
      </c>
      <c r="J647">
        <v>0.28000000000000003</v>
      </c>
      <c r="K647">
        <v>0.30299999999999999</v>
      </c>
      <c r="L647">
        <v>0.61</v>
      </c>
      <c r="M647">
        <v>8.9599999999999999E-2</v>
      </c>
      <c r="N647">
        <v>18</v>
      </c>
      <c r="O647">
        <v>104</v>
      </c>
      <c r="P647">
        <v>122</v>
      </c>
      <c r="Q647" s="2">
        <f>DATE(mergedcleandataset[[#This Row],[yr]],mergedcleandataset[[#This Row],[mnth]],mergedcleandataset[[#This Row],[day]])</f>
        <v>40573</v>
      </c>
      <c r="R647">
        <f>DAY(mergedcleandataset[[#This Row],[dteday]])</f>
        <v>30</v>
      </c>
      <c r="S647" t="str">
        <f>IF(mergedcleandataset[[#This Row],[weekday]]&gt;=5,"Yes","No")</f>
        <v>No</v>
      </c>
      <c r="T647" t="b">
        <f>ISBLANK(mergedcleandataset[[#This Row],[atemp]])</f>
        <v>0</v>
      </c>
      <c r="U647" t="str">
        <f t="shared" si="10"/>
        <v>Spring</v>
      </c>
      <c r="V647" t="str">
        <f>TEXT(mergedcleandataset[[#This Row],[date]],"dddd")</f>
        <v>Sunday</v>
      </c>
      <c r="W64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8" spans="1:23" x14ac:dyDescent="0.25">
      <c r="A648">
        <v>656</v>
      </c>
      <c r="B648" s="1">
        <v>40573</v>
      </c>
      <c r="C648">
        <v>1</v>
      </c>
      <c r="D648" t="str">
        <f>TEXT(mergedcleandataset[[#This Row],[dteday]],"yyyy")</f>
        <v>2011</v>
      </c>
      <c r="E648">
        <v>1</v>
      </c>
      <c r="F648">
        <v>15</v>
      </c>
      <c r="G648" t="b">
        <v>0</v>
      </c>
      <c r="H648">
        <v>0</v>
      </c>
      <c r="I648">
        <v>1</v>
      </c>
      <c r="J648">
        <v>0.3</v>
      </c>
      <c r="K648">
        <v>0.33329999999999999</v>
      </c>
      <c r="L648">
        <v>0.56000000000000005</v>
      </c>
      <c r="M648">
        <v>0</v>
      </c>
      <c r="N648">
        <v>14</v>
      </c>
      <c r="O648">
        <v>95</v>
      </c>
      <c r="P648">
        <v>109</v>
      </c>
      <c r="Q648" s="2">
        <f>DATE(mergedcleandataset[[#This Row],[yr]],mergedcleandataset[[#This Row],[mnth]],mergedcleandataset[[#This Row],[day]])</f>
        <v>40573</v>
      </c>
      <c r="R648">
        <f>DAY(mergedcleandataset[[#This Row],[dteday]])</f>
        <v>30</v>
      </c>
      <c r="S648" t="str">
        <f>IF(mergedcleandataset[[#This Row],[weekday]]&gt;=5,"Yes","No")</f>
        <v>No</v>
      </c>
      <c r="T648" t="b">
        <f>ISBLANK(mergedcleandataset[[#This Row],[atemp]])</f>
        <v>0</v>
      </c>
      <c r="U648" t="str">
        <f t="shared" si="10"/>
        <v>Spring</v>
      </c>
      <c r="V648" t="str">
        <f>TEXT(mergedcleandataset[[#This Row],[date]],"dddd")</f>
        <v>Sunday</v>
      </c>
      <c r="W64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49" spans="1:23" x14ac:dyDescent="0.25">
      <c r="A649">
        <v>657</v>
      </c>
      <c r="B649" s="1">
        <v>40573</v>
      </c>
      <c r="C649">
        <v>1</v>
      </c>
      <c r="D649" t="str">
        <f>TEXT(mergedcleandataset[[#This Row],[dteday]],"yyyy")</f>
        <v>2011</v>
      </c>
      <c r="E649">
        <v>1</v>
      </c>
      <c r="F649">
        <v>16</v>
      </c>
      <c r="G649" t="b">
        <v>0</v>
      </c>
      <c r="H649">
        <v>0</v>
      </c>
      <c r="I649">
        <v>1</v>
      </c>
      <c r="J649">
        <v>0.3</v>
      </c>
      <c r="K649">
        <v>0.33329999999999999</v>
      </c>
      <c r="L649">
        <v>0.56000000000000005</v>
      </c>
      <c r="M649">
        <v>0</v>
      </c>
      <c r="N649">
        <v>19</v>
      </c>
      <c r="O649">
        <v>104</v>
      </c>
      <c r="P649">
        <v>123</v>
      </c>
      <c r="Q649" s="2">
        <f>DATE(mergedcleandataset[[#This Row],[yr]],mergedcleandataset[[#This Row],[mnth]],mergedcleandataset[[#This Row],[day]])</f>
        <v>40573</v>
      </c>
      <c r="R649">
        <f>DAY(mergedcleandataset[[#This Row],[dteday]])</f>
        <v>30</v>
      </c>
      <c r="S649" t="str">
        <f>IF(mergedcleandataset[[#This Row],[weekday]]&gt;=5,"Yes","No")</f>
        <v>No</v>
      </c>
      <c r="T649" t="b">
        <f>ISBLANK(mergedcleandataset[[#This Row],[atemp]])</f>
        <v>0</v>
      </c>
      <c r="U649" t="str">
        <f t="shared" si="10"/>
        <v>Spring</v>
      </c>
      <c r="V649" t="str">
        <f>TEXT(mergedcleandataset[[#This Row],[date]],"dddd")</f>
        <v>Sunday</v>
      </c>
      <c r="W64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50" spans="1:23" x14ac:dyDescent="0.25">
      <c r="A650">
        <v>658</v>
      </c>
      <c r="B650" s="1">
        <v>40573</v>
      </c>
      <c r="C650">
        <v>1</v>
      </c>
      <c r="D650" t="str">
        <f>TEXT(mergedcleandataset[[#This Row],[dteday]],"yyyy")</f>
        <v>2011</v>
      </c>
      <c r="E650">
        <v>1</v>
      </c>
      <c r="F650">
        <v>17</v>
      </c>
      <c r="G650" t="b">
        <v>0</v>
      </c>
      <c r="H650">
        <v>0</v>
      </c>
      <c r="I650">
        <v>1</v>
      </c>
      <c r="J650">
        <v>0.3</v>
      </c>
      <c r="K650">
        <v>0.28789999999999999</v>
      </c>
      <c r="L650">
        <v>0.56000000000000005</v>
      </c>
      <c r="M650">
        <v>0.19400000000000001</v>
      </c>
      <c r="N650">
        <v>6</v>
      </c>
      <c r="O650">
        <v>71</v>
      </c>
      <c r="P650">
        <v>77</v>
      </c>
      <c r="Q650" s="2">
        <f>DATE(mergedcleandataset[[#This Row],[yr]],mergedcleandataset[[#This Row],[mnth]],mergedcleandataset[[#This Row],[day]])</f>
        <v>40573</v>
      </c>
      <c r="R650">
        <f>DAY(mergedcleandataset[[#This Row],[dteday]])</f>
        <v>30</v>
      </c>
      <c r="S650" t="str">
        <f>IF(mergedcleandataset[[#This Row],[weekday]]&gt;=5,"Yes","No")</f>
        <v>No</v>
      </c>
      <c r="T650" t="b">
        <f>ISBLANK(mergedcleandataset[[#This Row],[atemp]])</f>
        <v>0</v>
      </c>
      <c r="U650" t="str">
        <f t="shared" si="10"/>
        <v>Spring</v>
      </c>
      <c r="V650" t="str">
        <f>TEXT(mergedcleandataset[[#This Row],[date]],"dddd")</f>
        <v>Sunday</v>
      </c>
      <c r="W65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51" spans="1:23" x14ac:dyDescent="0.25">
      <c r="A651">
        <v>659</v>
      </c>
      <c r="B651" s="1">
        <v>40573</v>
      </c>
      <c r="C651">
        <v>1</v>
      </c>
      <c r="D651" t="str">
        <f>TEXT(mergedcleandataset[[#This Row],[dteday]],"yyyy")</f>
        <v>2011</v>
      </c>
      <c r="E651">
        <v>1</v>
      </c>
      <c r="F651">
        <v>18</v>
      </c>
      <c r="G651" t="b">
        <v>0</v>
      </c>
      <c r="H651">
        <v>0</v>
      </c>
      <c r="I651">
        <v>1</v>
      </c>
      <c r="J651">
        <v>0.26</v>
      </c>
      <c r="K651">
        <v>0.2576</v>
      </c>
      <c r="L651">
        <v>0.65</v>
      </c>
      <c r="M651">
        <v>0.16420000000000001</v>
      </c>
      <c r="N651">
        <v>8</v>
      </c>
      <c r="O651">
        <v>57</v>
      </c>
      <c r="P651">
        <v>65</v>
      </c>
      <c r="Q651" s="2">
        <f>DATE(mergedcleandataset[[#This Row],[yr]],mergedcleandataset[[#This Row],[mnth]],mergedcleandataset[[#This Row],[day]])</f>
        <v>40573</v>
      </c>
      <c r="R651">
        <f>DAY(mergedcleandataset[[#This Row],[dteday]])</f>
        <v>30</v>
      </c>
      <c r="S651" t="str">
        <f>IF(mergedcleandataset[[#This Row],[weekday]]&gt;=5,"Yes","No")</f>
        <v>No</v>
      </c>
      <c r="T651" t="b">
        <f>ISBLANK(mergedcleandataset[[#This Row],[atemp]])</f>
        <v>0</v>
      </c>
      <c r="U651" t="str">
        <f t="shared" si="10"/>
        <v>Spring</v>
      </c>
      <c r="V651" t="str">
        <f>TEXT(mergedcleandataset[[#This Row],[date]],"dddd")</f>
        <v>Sunday</v>
      </c>
      <c r="W65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52" spans="1:23" x14ac:dyDescent="0.25">
      <c r="A652">
        <v>660</v>
      </c>
      <c r="B652" s="1">
        <v>40573</v>
      </c>
      <c r="C652">
        <v>1</v>
      </c>
      <c r="D652" t="str">
        <f>TEXT(mergedcleandataset[[#This Row],[dteday]],"yyyy")</f>
        <v>2011</v>
      </c>
      <c r="E652">
        <v>1</v>
      </c>
      <c r="F652">
        <v>19</v>
      </c>
      <c r="G652" t="b">
        <v>0</v>
      </c>
      <c r="H652">
        <v>0</v>
      </c>
      <c r="I652">
        <v>1</v>
      </c>
      <c r="J652">
        <v>0.26</v>
      </c>
      <c r="K652">
        <v>0.2576</v>
      </c>
      <c r="L652">
        <v>0.65</v>
      </c>
      <c r="M652">
        <v>0.19400000000000001</v>
      </c>
      <c r="N652">
        <v>9</v>
      </c>
      <c r="O652">
        <v>46</v>
      </c>
      <c r="P652">
        <v>55</v>
      </c>
      <c r="Q652" s="2">
        <f>DATE(mergedcleandataset[[#This Row],[yr]],mergedcleandataset[[#This Row],[mnth]],mergedcleandataset[[#This Row],[day]])</f>
        <v>40573</v>
      </c>
      <c r="R652">
        <f>DAY(mergedcleandataset[[#This Row],[dteday]])</f>
        <v>30</v>
      </c>
      <c r="S652" t="str">
        <f>IF(mergedcleandataset[[#This Row],[weekday]]&gt;=5,"Yes","No")</f>
        <v>No</v>
      </c>
      <c r="T652" t="b">
        <f>ISBLANK(mergedcleandataset[[#This Row],[atemp]])</f>
        <v>0</v>
      </c>
      <c r="U652" t="str">
        <f t="shared" si="10"/>
        <v>Spring</v>
      </c>
      <c r="V652" t="str">
        <f>TEXT(mergedcleandataset[[#This Row],[date]],"dddd")</f>
        <v>Sunday</v>
      </c>
      <c r="W6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53" spans="1:23" x14ac:dyDescent="0.25">
      <c r="A653">
        <v>661</v>
      </c>
      <c r="B653" s="1">
        <v>40573</v>
      </c>
      <c r="C653">
        <v>1</v>
      </c>
      <c r="D653" t="str">
        <f>TEXT(mergedcleandataset[[#This Row],[dteday]],"yyyy")</f>
        <v>2011</v>
      </c>
      <c r="E653">
        <v>1</v>
      </c>
      <c r="F653">
        <v>20</v>
      </c>
      <c r="G653" t="b">
        <v>0</v>
      </c>
      <c r="H653">
        <v>0</v>
      </c>
      <c r="I653">
        <v>2</v>
      </c>
      <c r="J653">
        <v>0.26</v>
      </c>
      <c r="K653">
        <v>0.2727</v>
      </c>
      <c r="L653">
        <v>0.65</v>
      </c>
      <c r="M653">
        <v>0.1045</v>
      </c>
      <c r="N653">
        <v>3</v>
      </c>
      <c r="O653">
        <v>30</v>
      </c>
      <c r="P653">
        <v>33</v>
      </c>
      <c r="Q653" s="2">
        <f>DATE(mergedcleandataset[[#This Row],[yr]],mergedcleandataset[[#This Row],[mnth]],mergedcleandataset[[#This Row],[day]])</f>
        <v>40573</v>
      </c>
      <c r="R653">
        <f>DAY(mergedcleandataset[[#This Row],[dteday]])</f>
        <v>30</v>
      </c>
      <c r="S653" t="str">
        <f>IF(mergedcleandataset[[#This Row],[weekday]]&gt;=5,"Yes","No")</f>
        <v>No</v>
      </c>
      <c r="T653" t="b">
        <f>ISBLANK(mergedcleandataset[[#This Row],[atemp]])</f>
        <v>0</v>
      </c>
      <c r="U653" t="str">
        <f t="shared" si="10"/>
        <v>Spring</v>
      </c>
      <c r="V653" t="str">
        <f>TEXT(mergedcleandataset[[#This Row],[date]],"dddd")</f>
        <v>Sunday</v>
      </c>
      <c r="W65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54" spans="1:23" x14ac:dyDescent="0.25">
      <c r="A654">
        <v>662</v>
      </c>
      <c r="B654" s="1">
        <v>40573</v>
      </c>
      <c r="C654">
        <v>1</v>
      </c>
      <c r="D654" t="str">
        <f>TEXT(mergedcleandataset[[#This Row],[dteday]],"yyyy")</f>
        <v>2011</v>
      </c>
      <c r="E654">
        <v>1</v>
      </c>
      <c r="F654">
        <v>21</v>
      </c>
      <c r="G654" t="b">
        <v>0</v>
      </c>
      <c r="H654">
        <v>0</v>
      </c>
      <c r="I654">
        <v>2</v>
      </c>
      <c r="J654">
        <v>0.24</v>
      </c>
      <c r="K654">
        <v>0.2424</v>
      </c>
      <c r="L654">
        <v>0.7</v>
      </c>
      <c r="M654">
        <v>0.16420000000000001</v>
      </c>
      <c r="N654">
        <v>3</v>
      </c>
      <c r="O654">
        <v>25</v>
      </c>
      <c r="P654">
        <v>28</v>
      </c>
      <c r="Q654" s="2">
        <f>DATE(mergedcleandataset[[#This Row],[yr]],mergedcleandataset[[#This Row],[mnth]],mergedcleandataset[[#This Row],[day]])</f>
        <v>40573</v>
      </c>
      <c r="R654">
        <f>DAY(mergedcleandataset[[#This Row],[dteday]])</f>
        <v>30</v>
      </c>
      <c r="S654" t="str">
        <f>IF(mergedcleandataset[[#This Row],[weekday]]&gt;=5,"Yes","No")</f>
        <v>No</v>
      </c>
      <c r="T654" t="b">
        <f>ISBLANK(mergedcleandataset[[#This Row],[atemp]])</f>
        <v>0</v>
      </c>
      <c r="U654" t="str">
        <f t="shared" si="10"/>
        <v>Spring</v>
      </c>
      <c r="V654" t="str">
        <f>TEXT(mergedcleandataset[[#This Row],[date]],"dddd")</f>
        <v>Sunday</v>
      </c>
      <c r="W65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55" spans="1:23" x14ac:dyDescent="0.25">
      <c r="A655">
        <v>663</v>
      </c>
      <c r="B655" s="1">
        <v>40573</v>
      </c>
      <c r="C655">
        <v>1</v>
      </c>
      <c r="D655" t="str">
        <f>TEXT(mergedcleandataset[[#This Row],[dteday]],"yyyy")</f>
        <v>2011</v>
      </c>
      <c r="E655">
        <v>1</v>
      </c>
      <c r="F655">
        <v>22</v>
      </c>
      <c r="G655" t="b">
        <v>0</v>
      </c>
      <c r="H655">
        <v>0</v>
      </c>
      <c r="I655">
        <v>2</v>
      </c>
      <c r="J655">
        <v>0.24</v>
      </c>
      <c r="K655">
        <v>0.2273</v>
      </c>
      <c r="L655">
        <v>0.7</v>
      </c>
      <c r="M655">
        <v>0.19400000000000001</v>
      </c>
      <c r="N655">
        <v>2</v>
      </c>
      <c r="O655">
        <v>19</v>
      </c>
      <c r="P655">
        <v>21</v>
      </c>
      <c r="Q655" s="2">
        <f>DATE(mergedcleandataset[[#This Row],[yr]],mergedcleandataset[[#This Row],[mnth]],mergedcleandataset[[#This Row],[day]])</f>
        <v>40573</v>
      </c>
      <c r="R655">
        <f>DAY(mergedcleandataset[[#This Row],[dteday]])</f>
        <v>30</v>
      </c>
      <c r="S655" t="str">
        <f>IF(mergedcleandataset[[#This Row],[weekday]]&gt;=5,"Yes","No")</f>
        <v>No</v>
      </c>
      <c r="T655" t="b">
        <f>ISBLANK(mergedcleandataset[[#This Row],[atemp]])</f>
        <v>0</v>
      </c>
      <c r="U655" t="str">
        <f t="shared" si="10"/>
        <v>Spring</v>
      </c>
      <c r="V655" t="str">
        <f>TEXT(mergedcleandataset[[#This Row],[date]],"dddd")</f>
        <v>Sunday</v>
      </c>
      <c r="W65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56" spans="1:23" x14ac:dyDescent="0.25">
      <c r="A656">
        <v>664</v>
      </c>
      <c r="B656" s="1">
        <v>40573</v>
      </c>
      <c r="C656">
        <v>1</v>
      </c>
      <c r="D656" t="str">
        <f>TEXT(mergedcleandataset[[#This Row],[dteday]],"yyyy")</f>
        <v>2011</v>
      </c>
      <c r="E656">
        <v>1</v>
      </c>
      <c r="F656">
        <v>23</v>
      </c>
      <c r="G656" t="b">
        <v>0</v>
      </c>
      <c r="H656">
        <v>0</v>
      </c>
      <c r="I656">
        <v>2</v>
      </c>
      <c r="J656">
        <v>0.24</v>
      </c>
      <c r="K656">
        <v>0.21210000000000001</v>
      </c>
      <c r="L656">
        <v>0.65</v>
      </c>
      <c r="M656">
        <v>0.28360000000000002</v>
      </c>
      <c r="N656">
        <v>5</v>
      </c>
      <c r="O656">
        <v>16</v>
      </c>
      <c r="P656">
        <v>21</v>
      </c>
      <c r="Q656" s="2">
        <f>DATE(mergedcleandataset[[#This Row],[yr]],mergedcleandataset[[#This Row],[mnth]],mergedcleandataset[[#This Row],[day]])</f>
        <v>40573</v>
      </c>
      <c r="R656">
        <f>DAY(mergedcleandataset[[#This Row],[dteday]])</f>
        <v>30</v>
      </c>
      <c r="S656" t="str">
        <f>IF(mergedcleandataset[[#This Row],[weekday]]&gt;=5,"Yes","No")</f>
        <v>No</v>
      </c>
      <c r="T656" t="b">
        <f>ISBLANK(mergedcleandataset[[#This Row],[atemp]])</f>
        <v>0</v>
      </c>
      <c r="U656" t="str">
        <f t="shared" si="10"/>
        <v>Spring</v>
      </c>
      <c r="V656" t="str">
        <f>TEXT(mergedcleandataset[[#This Row],[date]],"dddd")</f>
        <v>Sunday</v>
      </c>
      <c r="W65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57" spans="1:23" x14ac:dyDescent="0.25">
      <c r="A657">
        <v>665</v>
      </c>
      <c r="B657" s="1">
        <v>40574</v>
      </c>
      <c r="C657">
        <v>1</v>
      </c>
      <c r="D657" t="str">
        <f>TEXT(mergedcleandataset[[#This Row],[dteday]],"yyyy")</f>
        <v>2011</v>
      </c>
      <c r="E657">
        <v>1</v>
      </c>
      <c r="F657">
        <v>0</v>
      </c>
      <c r="G657" t="b">
        <v>0</v>
      </c>
      <c r="H657">
        <v>1</v>
      </c>
      <c r="I657">
        <v>2</v>
      </c>
      <c r="J657">
        <v>0.24</v>
      </c>
      <c r="K657">
        <v>0.2273</v>
      </c>
      <c r="L657">
        <v>0.65</v>
      </c>
      <c r="M657">
        <v>0.22389999999999999</v>
      </c>
      <c r="N657">
        <v>1</v>
      </c>
      <c r="O657">
        <v>6</v>
      </c>
      <c r="P657">
        <v>7</v>
      </c>
      <c r="Q657" s="2">
        <f>DATE(mergedcleandataset[[#This Row],[yr]],mergedcleandataset[[#This Row],[mnth]],mergedcleandataset[[#This Row],[day]])</f>
        <v>40574</v>
      </c>
      <c r="R657">
        <f>DAY(mergedcleandataset[[#This Row],[dteday]])</f>
        <v>31</v>
      </c>
      <c r="S657" t="str">
        <f>IF(mergedcleandataset[[#This Row],[weekday]]&gt;=5,"Yes","No")</f>
        <v>No</v>
      </c>
      <c r="T657" t="b">
        <f>ISBLANK(mergedcleandataset[[#This Row],[atemp]])</f>
        <v>0</v>
      </c>
      <c r="U657" t="str">
        <f t="shared" si="10"/>
        <v>Spring</v>
      </c>
      <c r="V657" t="str">
        <f>TEXT(mergedcleandataset[[#This Row],[date]],"dddd")</f>
        <v>Monday</v>
      </c>
      <c r="W65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58" spans="1:23" x14ac:dyDescent="0.25">
      <c r="A658">
        <v>666</v>
      </c>
      <c r="B658" s="1">
        <v>40574</v>
      </c>
      <c r="C658">
        <v>1</v>
      </c>
      <c r="D658" t="str">
        <f>TEXT(mergedcleandataset[[#This Row],[dteday]],"yyyy")</f>
        <v>2011</v>
      </c>
      <c r="E658">
        <v>1</v>
      </c>
      <c r="F658">
        <v>1</v>
      </c>
      <c r="G658" t="b">
        <v>0</v>
      </c>
      <c r="H658">
        <v>1</v>
      </c>
      <c r="I658">
        <v>1</v>
      </c>
      <c r="J658">
        <v>0.22</v>
      </c>
      <c r="K658">
        <v>0.21210000000000001</v>
      </c>
      <c r="L658">
        <v>0.64</v>
      </c>
      <c r="M658">
        <v>0.25369999999999998</v>
      </c>
      <c r="N658">
        <v>2</v>
      </c>
      <c r="O658">
        <v>5</v>
      </c>
      <c r="P658">
        <v>7</v>
      </c>
      <c r="Q658" s="2">
        <f>DATE(mergedcleandataset[[#This Row],[yr]],mergedcleandataset[[#This Row],[mnth]],mergedcleandataset[[#This Row],[day]])</f>
        <v>40574</v>
      </c>
      <c r="R658">
        <f>DAY(mergedcleandataset[[#This Row],[dteday]])</f>
        <v>31</v>
      </c>
      <c r="S658" t="str">
        <f>IF(mergedcleandataset[[#This Row],[weekday]]&gt;=5,"Yes","No")</f>
        <v>No</v>
      </c>
      <c r="T658" t="b">
        <f>ISBLANK(mergedcleandataset[[#This Row],[atemp]])</f>
        <v>0</v>
      </c>
      <c r="U658" t="str">
        <f t="shared" si="10"/>
        <v>Spring</v>
      </c>
      <c r="V658" t="str">
        <f>TEXT(mergedcleandataset[[#This Row],[date]],"dddd")</f>
        <v>Monday</v>
      </c>
      <c r="W6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59" spans="1:23" x14ac:dyDescent="0.25">
      <c r="A659">
        <v>667</v>
      </c>
      <c r="B659" s="1">
        <v>40574</v>
      </c>
      <c r="C659">
        <v>1</v>
      </c>
      <c r="D659" t="str">
        <f>TEXT(mergedcleandataset[[#This Row],[dteday]],"yyyy")</f>
        <v>2011</v>
      </c>
      <c r="E659">
        <v>1</v>
      </c>
      <c r="F659">
        <v>2</v>
      </c>
      <c r="G659" t="b">
        <v>0</v>
      </c>
      <c r="H659">
        <v>1</v>
      </c>
      <c r="I659">
        <v>1</v>
      </c>
      <c r="J659">
        <v>0.22</v>
      </c>
      <c r="K659">
        <v>0.2273</v>
      </c>
      <c r="L659">
        <v>0.64</v>
      </c>
      <c r="M659">
        <v>0.19400000000000001</v>
      </c>
      <c r="N659">
        <v>0</v>
      </c>
      <c r="O659">
        <v>1</v>
      </c>
      <c r="P659">
        <v>1</v>
      </c>
      <c r="Q659" s="2">
        <f>DATE(mergedcleandataset[[#This Row],[yr]],mergedcleandataset[[#This Row],[mnth]],mergedcleandataset[[#This Row],[day]])</f>
        <v>40574</v>
      </c>
      <c r="R659">
        <f>DAY(mergedcleandataset[[#This Row],[dteday]])</f>
        <v>31</v>
      </c>
      <c r="S659" t="str">
        <f>IF(mergedcleandataset[[#This Row],[weekday]]&gt;=5,"Yes","No")</f>
        <v>No</v>
      </c>
      <c r="T659" t="b">
        <f>ISBLANK(mergedcleandataset[[#This Row],[atemp]])</f>
        <v>0</v>
      </c>
      <c r="U659" t="str">
        <f t="shared" si="10"/>
        <v>Spring</v>
      </c>
      <c r="V659" t="str">
        <f>TEXT(mergedcleandataset[[#This Row],[date]],"dddd")</f>
        <v>Monday</v>
      </c>
      <c r="W65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60" spans="1:23" x14ac:dyDescent="0.25">
      <c r="A660">
        <v>668</v>
      </c>
      <c r="B660" s="1">
        <v>40574</v>
      </c>
      <c r="C660">
        <v>1</v>
      </c>
      <c r="D660" t="str">
        <f>TEXT(mergedcleandataset[[#This Row],[dteday]],"yyyy")</f>
        <v>2011</v>
      </c>
      <c r="E660">
        <v>1</v>
      </c>
      <c r="F660">
        <v>3</v>
      </c>
      <c r="G660" t="b">
        <v>0</v>
      </c>
      <c r="H660">
        <v>1</v>
      </c>
      <c r="I660">
        <v>1</v>
      </c>
      <c r="J660">
        <v>0.22</v>
      </c>
      <c r="K660">
        <v>0.2273</v>
      </c>
      <c r="L660">
        <v>0.64</v>
      </c>
      <c r="M660">
        <v>0.19400000000000001</v>
      </c>
      <c r="N660">
        <v>0</v>
      </c>
      <c r="O660">
        <v>2</v>
      </c>
      <c r="P660">
        <v>2</v>
      </c>
      <c r="Q660" s="2">
        <f>DATE(mergedcleandataset[[#This Row],[yr]],mergedcleandataset[[#This Row],[mnth]],mergedcleandataset[[#This Row],[day]])</f>
        <v>40574</v>
      </c>
      <c r="R660">
        <f>DAY(mergedcleandataset[[#This Row],[dteday]])</f>
        <v>31</v>
      </c>
      <c r="S660" t="str">
        <f>IF(mergedcleandataset[[#This Row],[weekday]]&gt;=5,"Yes","No")</f>
        <v>No</v>
      </c>
      <c r="T660" t="b">
        <f>ISBLANK(mergedcleandataset[[#This Row],[atemp]])</f>
        <v>0</v>
      </c>
      <c r="U660" t="str">
        <f t="shared" si="10"/>
        <v>Spring</v>
      </c>
      <c r="V660" t="str">
        <f>TEXT(mergedcleandataset[[#This Row],[date]],"dddd")</f>
        <v>Monday</v>
      </c>
      <c r="W6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61" spans="1:23" x14ac:dyDescent="0.25">
      <c r="A661">
        <v>669</v>
      </c>
      <c r="B661" s="1">
        <v>40574</v>
      </c>
      <c r="C661">
        <v>1</v>
      </c>
      <c r="D661" t="str">
        <f>TEXT(mergedcleandataset[[#This Row],[dteday]],"yyyy")</f>
        <v>2011</v>
      </c>
      <c r="E661">
        <v>1</v>
      </c>
      <c r="F661">
        <v>4</v>
      </c>
      <c r="G661" t="b">
        <v>0</v>
      </c>
      <c r="H661">
        <v>1</v>
      </c>
      <c r="I661">
        <v>1</v>
      </c>
      <c r="J661">
        <v>0.2</v>
      </c>
      <c r="K661">
        <v>0.19700000000000001</v>
      </c>
      <c r="L661">
        <v>0.59</v>
      </c>
      <c r="M661">
        <v>0.22389999999999999</v>
      </c>
      <c r="N661">
        <v>0</v>
      </c>
      <c r="O661">
        <v>2</v>
      </c>
      <c r="P661">
        <v>2</v>
      </c>
      <c r="Q661" s="2">
        <f>DATE(mergedcleandataset[[#This Row],[yr]],mergedcleandataset[[#This Row],[mnth]],mergedcleandataset[[#This Row],[day]])</f>
        <v>40574</v>
      </c>
      <c r="R661">
        <f>DAY(mergedcleandataset[[#This Row],[dteday]])</f>
        <v>31</v>
      </c>
      <c r="S661" t="str">
        <f>IF(mergedcleandataset[[#This Row],[weekday]]&gt;=5,"Yes","No")</f>
        <v>No</v>
      </c>
      <c r="T661" t="b">
        <f>ISBLANK(mergedcleandataset[[#This Row],[atemp]])</f>
        <v>0</v>
      </c>
      <c r="U661" t="str">
        <f t="shared" si="10"/>
        <v>Spring</v>
      </c>
      <c r="V661" t="str">
        <f>TEXT(mergedcleandataset[[#This Row],[date]],"dddd")</f>
        <v>Monday</v>
      </c>
      <c r="W6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62" spans="1:23" x14ac:dyDescent="0.25">
      <c r="A662">
        <v>670</v>
      </c>
      <c r="B662" s="1">
        <v>40574</v>
      </c>
      <c r="C662">
        <v>1</v>
      </c>
      <c r="D662" t="str">
        <f>TEXT(mergedcleandataset[[#This Row],[dteday]],"yyyy")</f>
        <v>2011</v>
      </c>
      <c r="E662">
        <v>1</v>
      </c>
      <c r="F662">
        <v>5</v>
      </c>
      <c r="G662" t="b">
        <v>0</v>
      </c>
      <c r="H662">
        <v>1</v>
      </c>
      <c r="I662">
        <v>1</v>
      </c>
      <c r="J662">
        <v>0.18</v>
      </c>
      <c r="K662">
        <v>0.16669999999999999</v>
      </c>
      <c r="L662">
        <v>0.64</v>
      </c>
      <c r="M662">
        <v>0.28360000000000002</v>
      </c>
      <c r="N662">
        <v>0</v>
      </c>
      <c r="O662">
        <v>8</v>
      </c>
      <c r="P662">
        <v>8</v>
      </c>
      <c r="Q662" s="2">
        <f>DATE(mergedcleandataset[[#This Row],[yr]],mergedcleandataset[[#This Row],[mnth]],mergedcleandataset[[#This Row],[day]])</f>
        <v>40574</v>
      </c>
      <c r="R662">
        <f>DAY(mergedcleandataset[[#This Row],[dteday]])</f>
        <v>31</v>
      </c>
      <c r="S662" t="str">
        <f>IF(mergedcleandataset[[#This Row],[weekday]]&gt;=5,"Yes","No")</f>
        <v>No</v>
      </c>
      <c r="T662" t="b">
        <f>ISBLANK(mergedcleandataset[[#This Row],[atemp]])</f>
        <v>0</v>
      </c>
      <c r="U662" t="str">
        <f t="shared" si="10"/>
        <v>Spring</v>
      </c>
      <c r="V662" t="str">
        <f>TEXT(mergedcleandataset[[#This Row],[date]],"dddd")</f>
        <v>Monday</v>
      </c>
      <c r="W6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63" spans="1:23" x14ac:dyDescent="0.25">
      <c r="A663">
        <v>671</v>
      </c>
      <c r="B663" s="1">
        <v>40574</v>
      </c>
      <c r="C663">
        <v>1</v>
      </c>
      <c r="D663" t="str">
        <f>TEXT(mergedcleandataset[[#This Row],[dteday]],"yyyy")</f>
        <v>2011</v>
      </c>
      <c r="E663">
        <v>1</v>
      </c>
      <c r="F663">
        <v>6</v>
      </c>
      <c r="G663" t="b">
        <v>0</v>
      </c>
      <c r="H663">
        <v>1</v>
      </c>
      <c r="I663">
        <v>1</v>
      </c>
      <c r="J663">
        <v>0.16</v>
      </c>
      <c r="K663">
        <v>0.13639999999999999</v>
      </c>
      <c r="L663">
        <v>0.69</v>
      </c>
      <c r="M663">
        <v>0.32840000000000003</v>
      </c>
      <c r="N663">
        <v>0</v>
      </c>
      <c r="O663">
        <v>37</v>
      </c>
      <c r="P663">
        <v>37</v>
      </c>
      <c r="Q663" s="2">
        <f>DATE(mergedcleandataset[[#This Row],[yr]],mergedcleandataset[[#This Row],[mnth]],mergedcleandataset[[#This Row],[day]])</f>
        <v>40574</v>
      </c>
      <c r="R663">
        <f>DAY(mergedcleandataset[[#This Row],[dteday]])</f>
        <v>31</v>
      </c>
      <c r="S663" t="str">
        <f>IF(mergedcleandataset[[#This Row],[weekday]]&gt;=5,"Yes","No")</f>
        <v>No</v>
      </c>
      <c r="T663" t="b">
        <f>ISBLANK(mergedcleandataset[[#This Row],[atemp]])</f>
        <v>0</v>
      </c>
      <c r="U663" t="str">
        <f t="shared" si="10"/>
        <v>Spring</v>
      </c>
      <c r="V663" t="str">
        <f>TEXT(mergedcleandataset[[#This Row],[date]],"dddd")</f>
        <v>Monday</v>
      </c>
      <c r="W6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64" spans="1:23" x14ac:dyDescent="0.25">
      <c r="A664">
        <v>672</v>
      </c>
      <c r="B664" s="1">
        <v>40574</v>
      </c>
      <c r="C664">
        <v>1</v>
      </c>
      <c r="D664" t="str">
        <f>TEXT(mergedcleandataset[[#This Row],[dteday]],"yyyy")</f>
        <v>2011</v>
      </c>
      <c r="E664">
        <v>1</v>
      </c>
      <c r="F664">
        <v>7</v>
      </c>
      <c r="G664" t="b">
        <v>0</v>
      </c>
      <c r="H664">
        <v>1</v>
      </c>
      <c r="I664">
        <v>2</v>
      </c>
      <c r="J664">
        <v>0.16</v>
      </c>
      <c r="K664">
        <v>0.13639999999999999</v>
      </c>
      <c r="L664">
        <v>0.64</v>
      </c>
      <c r="M664">
        <v>0.28360000000000002</v>
      </c>
      <c r="N664">
        <v>1</v>
      </c>
      <c r="O664">
        <v>71</v>
      </c>
      <c r="P664">
        <v>72</v>
      </c>
      <c r="Q664" s="2">
        <f>DATE(mergedcleandataset[[#This Row],[yr]],mergedcleandataset[[#This Row],[mnth]],mergedcleandataset[[#This Row],[day]])</f>
        <v>40574</v>
      </c>
      <c r="R664">
        <f>DAY(mergedcleandataset[[#This Row],[dteday]])</f>
        <v>31</v>
      </c>
      <c r="S664" t="str">
        <f>IF(mergedcleandataset[[#This Row],[weekday]]&gt;=5,"Yes","No")</f>
        <v>No</v>
      </c>
      <c r="T664" t="b">
        <f>ISBLANK(mergedcleandataset[[#This Row],[atemp]])</f>
        <v>0</v>
      </c>
      <c r="U664" t="str">
        <f t="shared" si="10"/>
        <v>Spring</v>
      </c>
      <c r="V664" t="str">
        <f>TEXT(mergedcleandataset[[#This Row],[date]],"dddd")</f>
        <v>Monday</v>
      </c>
      <c r="W66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65" spans="1:23" x14ac:dyDescent="0.25">
      <c r="A665">
        <v>673</v>
      </c>
      <c r="B665" s="1">
        <v>40574</v>
      </c>
      <c r="C665">
        <v>1</v>
      </c>
      <c r="D665" t="str">
        <f>TEXT(mergedcleandataset[[#This Row],[dteday]],"yyyy")</f>
        <v>2011</v>
      </c>
      <c r="E665">
        <v>1</v>
      </c>
      <c r="F665">
        <v>8</v>
      </c>
      <c r="G665" t="b">
        <v>0</v>
      </c>
      <c r="H665">
        <v>1</v>
      </c>
      <c r="I665">
        <v>2</v>
      </c>
      <c r="J665">
        <v>0.16</v>
      </c>
      <c r="K665">
        <v>0.13639999999999999</v>
      </c>
      <c r="L665">
        <v>0.59</v>
      </c>
      <c r="M665">
        <v>0.28360000000000002</v>
      </c>
      <c r="N665">
        <v>3</v>
      </c>
      <c r="O665">
        <v>182</v>
      </c>
      <c r="P665">
        <v>185</v>
      </c>
      <c r="Q665" s="2">
        <f>DATE(mergedcleandataset[[#This Row],[yr]],mergedcleandataset[[#This Row],[mnth]],mergedcleandataset[[#This Row],[day]])</f>
        <v>40574</v>
      </c>
      <c r="R665">
        <f>DAY(mergedcleandataset[[#This Row],[dteday]])</f>
        <v>31</v>
      </c>
      <c r="S665" t="str">
        <f>IF(mergedcleandataset[[#This Row],[weekday]]&gt;=5,"Yes","No")</f>
        <v>No</v>
      </c>
      <c r="T665" t="b">
        <f>ISBLANK(mergedcleandataset[[#This Row],[atemp]])</f>
        <v>0</v>
      </c>
      <c r="U665" t="str">
        <f t="shared" si="10"/>
        <v>Spring</v>
      </c>
      <c r="V665" t="str">
        <f>TEXT(mergedcleandataset[[#This Row],[date]],"dddd")</f>
        <v>Monday</v>
      </c>
      <c r="W66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66" spans="1:23" x14ac:dyDescent="0.25">
      <c r="A666">
        <v>674</v>
      </c>
      <c r="B666" s="1">
        <v>40574</v>
      </c>
      <c r="C666">
        <v>1</v>
      </c>
      <c r="D666" t="str">
        <f>TEXT(mergedcleandataset[[#This Row],[dteday]],"yyyy")</f>
        <v>2011</v>
      </c>
      <c r="E666">
        <v>1</v>
      </c>
      <c r="F666">
        <v>9</v>
      </c>
      <c r="G666" t="b">
        <v>0</v>
      </c>
      <c r="H666">
        <v>1</v>
      </c>
      <c r="I666">
        <v>2</v>
      </c>
      <c r="J666">
        <v>0.16</v>
      </c>
      <c r="K666">
        <v>0.13639999999999999</v>
      </c>
      <c r="L666">
        <v>0.59</v>
      </c>
      <c r="M666">
        <v>0.29849999999999999</v>
      </c>
      <c r="N666">
        <v>0</v>
      </c>
      <c r="O666">
        <v>112</v>
      </c>
      <c r="P666">
        <v>112</v>
      </c>
      <c r="Q666" s="2">
        <f>DATE(mergedcleandataset[[#This Row],[yr]],mergedcleandataset[[#This Row],[mnth]],mergedcleandataset[[#This Row],[day]])</f>
        <v>40574</v>
      </c>
      <c r="R666">
        <f>DAY(mergedcleandataset[[#This Row],[dteday]])</f>
        <v>31</v>
      </c>
      <c r="S666" t="str">
        <f>IF(mergedcleandataset[[#This Row],[weekday]]&gt;=5,"Yes","No")</f>
        <v>No</v>
      </c>
      <c r="T666" t="b">
        <f>ISBLANK(mergedcleandataset[[#This Row],[atemp]])</f>
        <v>0</v>
      </c>
      <c r="U666" t="str">
        <f t="shared" si="10"/>
        <v>Spring</v>
      </c>
      <c r="V666" t="str">
        <f>TEXT(mergedcleandataset[[#This Row],[date]],"dddd")</f>
        <v>Monday</v>
      </c>
      <c r="W66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67" spans="1:23" x14ac:dyDescent="0.25">
      <c r="A667">
        <v>675</v>
      </c>
      <c r="B667" s="1">
        <v>40574</v>
      </c>
      <c r="C667">
        <v>1</v>
      </c>
      <c r="D667" t="str">
        <f>TEXT(mergedcleandataset[[#This Row],[dteday]],"yyyy")</f>
        <v>2011</v>
      </c>
      <c r="E667">
        <v>1</v>
      </c>
      <c r="F667">
        <v>10</v>
      </c>
      <c r="G667" t="b">
        <v>0</v>
      </c>
      <c r="H667">
        <v>1</v>
      </c>
      <c r="I667">
        <v>2</v>
      </c>
      <c r="J667">
        <v>0.16</v>
      </c>
      <c r="K667">
        <v>0.1515</v>
      </c>
      <c r="L667">
        <v>0.59</v>
      </c>
      <c r="M667">
        <v>0.19400000000000001</v>
      </c>
      <c r="N667">
        <v>1</v>
      </c>
      <c r="O667">
        <v>68</v>
      </c>
      <c r="P667">
        <v>69</v>
      </c>
      <c r="Q667" s="2">
        <f>DATE(mergedcleandataset[[#This Row],[yr]],mergedcleandataset[[#This Row],[mnth]],mergedcleandataset[[#This Row],[day]])</f>
        <v>40574</v>
      </c>
      <c r="R667">
        <f>DAY(mergedcleandataset[[#This Row],[dteday]])</f>
        <v>31</v>
      </c>
      <c r="S667" t="str">
        <f>IF(mergedcleandataset[[#This Row],[weekday]]&gt;=5,"Yes","No")</f>
        <v>No</v>
      </c>
      <c r="T667" t="b">
        <f>ISBLANK(mergedcleandataset[[#This Row],[atemp]])</f>
        <v>0</v>
      </c>
      <c r="U667" t="str">
        <f t="shared" si="10"/>
        <v>Spring</v>
      </c>
      <c r="V667" t="str">
        <f>TEXT(mergedcleandataset[[#This Row],[date]],"dddd")</f>
        <v>Monday</v>
      </c>
      <c r="W66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68" spans="1:23" x14ac:dyDescent="0.25">
      <c r="A668">
        <v>676</v>
      </c>
      <c r="B668" s="1">
        <v>40574</v>
      </c>
      <c r="C668">
        <v>1</v>
      </c>
      <c r="D668" t="str">
        <f>TEXT(mergedcleandataset[[#This Row],[dteday]],"yyyy")</f>
        <v>2011</v>
      </c>
      <c r="E668">
        <v>1</v>
      </c>
      <c r="F668">
        <v>11</v>
      </c>
      <c r="G668" t="b">
        <v>0</v>
      </c>
      <c r="H668">
        <v>1</v>
      </c>
      <c r="I668">
        <v>2</v>
      </c>
      <c r="J668">
        <v>0.16</v>
      </c>
      <c r="K668">
        <v>0.1515</v>
      </c>
      <c r="L668">
        <v>0.59</v>
      </c>
      <c r="M668">
        <v>0.19400000000000001</v>
      </c>
      <c r="N668">
        <v>2</v>
      </c>
      <c r="O668">
        <v>46</v>
      </c>
      <c r="P668">
        <v>48</v>
      </c>
      <c r="Q668" s="2">
        <f>DATE(mergedcleandataset[[#This Row],[yr]],mergedcleandataset[[#This Row],[mnth]],mergedcleandataset[[#This Row],[day]])</f>
        <v>40574</v>
      </c>
      <c r="R668">
        <f>DAY(mergedcleandataset[[#This Row],[dteday]])</f>
        <v>31</v>
      </c>
      <c r="S668" t="str">
        <f>IF(mergedcleandataset[[#This Row],[weekday]]&gt;=5,"Yes","No")</f>
        <v>No</v>
      </c>
      <c r="T668" t="b">
        <f>ISBLANK(mergedcleandataset[[#This Row],[atemp]])</f>
        <v>0</v>
      </c>
      <c r="U668" t="str">
        <f t="shared" si="10"/>
        <v>Spring</v>
      </c>
      <c r="V668" t="str">
        <f>TEXT(mergedcleandataset[[#This Row],[date]],"dddd")</f>
        <v>Monday</v>
      </c>
      <c r="W66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69" spans="1:23" x14ac:dyDescent="0.25">
      <c r="A669">
        <v>677</v>
      </c>
      <c r="B669" s="1">
        <v>40574</v>
      </c>
      <c r="C669">
        <v>1</v>
      </c>
      <c r="D669" t="str">
        <f>TEXT(mergedcleandataset[[#This Row],[dteday]],"yyyy")</f>
        <v>2011</v>
      </c>
      <c r="E669">
        <v>1</v>
      </c>
      <c r="F669">
        <v>12</v>
      </c>
      <c r="G669" t="b">
        <v>0</v>
      </c>
      <c r="H669">
        <v>1</v>
      </c>
      <c r="I669">
        <v>2</v>
      </c>
      <c r="J669">
        <v>0.18</v>
      </c>
      <c r="K669">
        <v>0.21210000000000001</v>
      </c>
      <c r="L669">
        <v>0.55000000000000004</v>
      </c>
      <c r="M669">
        <v>0.1045</v>
      </c>
      <c r="N669">
        <v>6</v>
      </c>
      <c r="O669">
        <v>62</v>
      </c>
      <c r="P669">
        <v>68</v>
      </c>
      <c r="Q669" s="2">
        <f>DATE(mergedcleandataset[[#This Row],[yr]],mergedcleandataset[[#This Row],[mnth]],mergedcleandataset[[#This Row],[day]])</f>
        <v>40574</v>
      </c>
      <c r="R669">
        <f>DAY(mergedcleandataset[[#This Row],[dteday]])</f>
        <v>31</v>
      </c>
      <c r="S669" t="str">
        <f>IF(mergedcleandataset[[#This Row],[weekday]]&gt;=5,"Yes","No")</f>
        <v>No</v>
      </c>
      <c r="T669" t="b">
        <f>ISBLANK(mergedcleandataset[[#This Row],[atemp]])</f>
        <v>0</v>
      </c>
      <c r="U669" t="str">
        <f t="shared" si="10"/>
        <v>Spring</v>
      </c>
      <c r="V669" t="str">
        <f>TEXT(mergedcleandataset[[#This Row],[date]],"dddd")</f>
        <v>Monday</v>
      </c>
      <c r="W66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0" spans="1:23" x14ac:dyDescent="0.25">
      <c r="A670">
        <v>678</v>
      </c>
      <c r="B670" s="1">
        <v>40574</v>
      </c>
      <c r="C670">
        <v>1</v>
      </c>
      <c r="D670" t="str">
        <f>TEXT(mergedcleandataset[[#This Row],[dteday]],"yyyy")</f>
        <v>2011</v>
      </c>
      <c r="E670">
        <v>1</v>
      </c>
      <c r="F670">
        <v>13</v>
      </c>
      <c r="G670" t="b">
        <v>0</v>
      </c>
      <c r="H670">
        <v>1</v>
      </c>
      <c r="I670">
        <v>2</v>
      </c>
      <c r="J670">
        <v>0.16</v>
      </c>
      <c r="K670">
        <v>0.2273</v>
      </c>
      <c r="L670">
        <v>0.59</v>
      </c>
      <c r="M670">
        <v>0</v>
      </c>
      <c r="N670">
        <v>2</v>
      </c>
      <c r="O670">
        <v>52</v>
      </c>
      <c r="P670">
        <v>54</v>
      </c>
      <c r="Q670" s="2">
        <f>DATE(mergedcleandataset[[#This Row],[yr]],mergedcleandataset[[#This Row],[mnth]],mergedcleandataset[[#This Row],[day]])</f>
        <v>40574</v>
      </c>
      <c r="R670">
        <f>DAY(mergedcleandataset[[#This Row],[dteday]])</f>
        <v>31</v>
      </c>
      <c r="S670" t="str">
        <f>IF(mergedcleandataset[[#This Row],[weekday]]&gt;=5,"Yes","No")</f>
        <v>No</v>
      </c>
      <c r="T670" t="b">
        <f>ISBLANK(mergedcleandataset[[#This Row],[atemp]])</f>
        <v>0</v>
      </c>
      <c r="U670" t="str">
        <f t="shared" si="10"/>
        <v>Spring</v>
      </c>
      <c r="V670" t="str">
        <f>TEXT(mergedcleandataset[[#This Row],[date]],"dddd")</f>
        <v>Monday</v>
      </c>
      <c r="W67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1" spans="1:23" x14ac:dyDescent="0.25">
      <c r="A671">
        <v>679</v>
      </c>
      <c r="B671" s="1">
        <v>40574</v>
      </c>
      <c r="C671">
        <v>1</v>
      </c>
      <c r="D671" t="str">
        <f>TEXT(mergedcleandataset[[#This Row],[dteday]],"yyyy")</f>
        <v>2011</v>
      </c>
      <c r="E671">
        <v>1</v>
      </c>
      <c r="F671">
        <v>14</v>
      </c>
      <c r="G671" t="b">
        <v>0</v>
      </c>
      <c r="H671">
        <v>1</v>
      </c>
      <c r="I671">
        <v>2</v>
      </c>
      <c r="J671">
        <v>0.18</v>
      </c>
      <c r="K671">
        <v>0.19700000000000001</v>
      </c>
      <c r="L671">
        <v>0.55000000000000004</v>
      </c>
      <c r="M671">
        <v>0.1343</v>
      </c>
      <c r="N671">
        <v>1</v>
      </c>
      <c r="O671">
        <v>85</v>
      </c>
      <c r="P671">
        <v>86</v>
      </c>
      <c r="Q671" s="2">
        <f>DATE(mergedcleandataset[[#This Row],[yr]],mergedcleandataset[[#This Row],[mnth]],mergedcleandataset[[#This Row],[day]])</f>
        <v>40574</v>
      </c>
      <c r="R671">
        <f>DAY(mergedcleandataset[[#This Row],[dteday]])</f>
        <v>31</v>
      </c>
      <c r="S671" t="str">
        <f>IF(mergedcleandataset[[#This Row],[weekday]]&gt;=5,"Yes","No")</f>
        <v>No</v>
      </c>
      <c r="T671" t="b">
        <f>ISBLANK(mergedcleandataset[[#This Row],[atemp]])</f>
        <v>0</v>
      </c>
      <c r="U671" t="str">
        <f t="shared" si="10"/>
        <v>Spring</v>
      </c>
      <c r="V671" t="str">
        <f>TEXT(mergedcleandataset[[#This Row],[date]],"dddd")</f>
        <v>Monday</v>
      </c>
      <c r="W67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2" spans="1:23" x14ac:dyDescent="0.25">
      <c r="A672">
        <v>680</v>
      </c>
      <c r="B672" s="1">
        <v>40574</v>
      </c>
      <c r="C672">
        <v>1</v>
      </c>
      <c r="D672" t="str">
        <f>TEXT(mergedcleandataset[[#This Row],[dteday]],"yyyy")</f>
        <v>2011</v>
      </c>
      <c r="E672">
        <v>1</v>
      </c>
      <c r="F672">
        <v>15</v>
      </c>
      <c r="G672" t="b">
        <v>0</v>
      </c>
      <c r="H672">
        <v>1</v>
      </c>
      <c r="I672">
        <v>2</v>
      </c>
      <c r="J672">
        <v>0.16</v>
      </c>
      <c r="K672">
        <v>0.18179999999999999</v>
      </c>
      <c r="L672">
        <v>0.59</v>
      </c>
      <c r="M672">
        <v>0.1343</v>
      </c>
      <c r="N672">
        <v>3</v>
      </c>
      <c r="O672">
        <v>41</v>
      </c>
      <c r="P672">
        <v>44</v>
      </c>
      <c r="Q672" s="2">
        <f>DATE(mergedcleandataset[[#This Row],[yr]],mergedcleandataset[[#This Row],[mnth]],mergedcleandataset[[#This Row],[day]])</f>
        <v>40574</v>
      </c>
      <c r="R672">
        <f>DAY(mergedcleandataset[[#This Row],[dteday]])</f>
        <v>31</v>
      </c>
      <c r="S672" t="str">
        <f>IF(mergedcleandataset[[#This Row],[weekday]]&gt;=5,"Yes","No")</f>
        <v>No</v>
      </c>
      <c r="T672" t="b">
        <f>ISBLANK(mergedcleandataset[[#This Row],[atemp]])</f>
        <v>0</v>
      </c>
      <c r="U672" t="str">
        <f t="shared" si="10"/>
        <v>Spring</v>
      </c>
      <c r="V672" t="str">
        <f>TEXT(mergedcleandataset[[#This Row],[date]],"dddd")</f>
        <v>Monday</v>
      </c>
      <c r="W67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3" spans="1:23" x14ac:dyDescent="0.25">
      <c r="A673">
        <v>681</v>
      </c>
      <c r="B673" s="1">
        <v>40574</v>
      </c>
      <c r="C673">
        <v>1</v>
      </c>
      <c r="D673" t="str">
        <f>TEXT(mergedcleandataset[[#This Row],[dteday]],"yyyy")</f>
        <v>2011</v>
      </c>
      <c r="E673">
        <v>1</v>
      </c>
      <c r="F673">
        <v>16</v>
      </c>
      <c r="G673" t="b">
        <v>0</v>
      </c>
      <c r="H673">
        <v>1</v>
      </c>
      <c r="I673">
        <v>2</v>
      </c>
      <c r="J673">
        <v>0.16</v>
      </c>
      <c r="K673">
        <v>0.18179999999999999</v>
      </c>
      <c r="L673">
        <v>0.56000000000000005</v>
      </c>
      <c r="M673">
        <v>0.19400000000000001</v>
      </c>
      <c r="N673">
        <v>3</v>
      </c>
      <c r="O673">
        <v>83</v>
      </c>
      <c r="P673">
        <v>86</v>
      </c>
      <c r="Q673" s="2">
        <f>DATE(mergedcleandataset[[#This Row],[yr]],mergedcleandataset[[#This Row],[mnth]],mergedcleandataset[[#This Row],[day]])</f>
        <v>40574</v>
      </c>
      <c r="R673">
        <f>DAY(mergedcleandataset[[#This Row],[dteday]])</f>
        <v>31</v>
      </c>
      <c r="S673" t="str">
        <f>IF(mergedcleandataset[[#This Row],[weekday]]&gt;=5,"Yes","No")</f>
        <v>No</v>
      </c>
      <c r="T673" t="b">
        <f>ISBLANK(mergedcleandataset[[#This Row],[atemp]])</f>
        <v>0</v>
      </c>
      <c r="U673" t="str">
        <f t="shared" si="10"/>
        <v>Spring</v>
      </c>
      <c r="V673" t="str">
        <f>TEXT(mergedcleandataset[[#This Row],[date]],"dddd")</f>
        <v>Monday</v>
      </c>
      <c r="W67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4" spans="1:23" x14ac:dyDescent="0.25">
      <c r="A674">
        <v>682</v>
      </c>
      <c r="B674" s="1">
        <v>40574</v>
      </c>
      <c r="C674">
        <v>1</v>
      </c>
      <c r="D674" t="str">
        <f>TEXT(mergedcleandataset[[#This Row],[dteday]],"yyyy")</f>
        <v>2011</v>
      </c>
      <c r="E674">
        <v>1</v>
      </c>
      <c r="F674">
        <v>17</v>
      </c>
      <c r="G674" t="b">
        <v>0</v>
      </c>
      <c r="H674">
        <v>1</v>
      </c>
      <c r="I674">
        <v>2</v>
      </c>
      <c r="J674">
        <v>0.16</v>
      </c>
      <c r="K674">
        <v>0.1515</v>
      </c>
      <c r="L674">
        <v>0.59</v>
      </c>
      <c r="M674">
        <v>0.19400000000000001</v>
      </c>
      <c r="N674">
        <v>6</v>
      </c>
      <c r="O674">
        <v>155</v>
      </c>
      <c r="P674">
        <v>161</v>
      </c>
      <c r="Q674" s="2">
        <f>DATE(mergedcleandataset[[#This Row],[yr]],mergedcleandataset[[#This Row],[mnth]],mergedcleandataset[[#This Row],[day]])</f>
        <v>40574</v>
      </c>
      <c r="R674">
        <f>DAY(mergedcleandataset[[#This Row],[dteday]])</f>
        <v>31</v>
      </c>
      <c r="S674" t="str">
        <f>IF(mergedcleandataset[[#This Row],[weekday]]&gt;=5,"Yes","No")</f>
        <v>No</v>
      </c>
      <c r="T674" t="b">
        <f>ISBLANK(mergedcleandataset[[#This Row],[atemp]])</f>
        <v>0</v>
      </c>
      <c r="U674" t="str">
        <f t="shared" si="10"/>
        <v>Spring</v>
      </c>
      <c r="V674" t="str">
        <f>TEXT(mergedcleandataset[[#This Row],[date]],"dddd")</f>
        <v>Monday</v>
      </c>
      <c r="W67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5" spans="1:23" x14ac:dyDescent="0.25">
      <c r="A675">
        <v>683</v>
      </c>
      <c r="B675" s="1">
        <v>40574</v>
      </c>
      <c r="C675">
        <v>1</v>
      </c>
      <c r="D675" t="str">
        <f>TEXT(mergedcleandataset[[#This Row],[dteday]],"yyyy")</f>
        <v>2011</v>
      </c>
      <c r="E675">
        <v>1</v>
      </c>
      <c r="F675">
        <v>18</v>
      </c>
      <c r="G675" t="b">
        <v>0</v>
      </c>
      <c r="H675">
        <v>1</v>
      </c>
      <c r="I675">
        <v>2</v>
      </c>
      <c r="J675">
        <v>0.16</v>
      </c>
      <c r="K675">
        <v>0.1515</v>
      </c>
      <c r="L675">
        <v>0.55000000000000004</v>
      </c>
      <c r="M675">
        <v>0.22389999999999999</v>
      </c>
      <c r="N675">
        <v>3</v>
      </c>
      <c r="O675">
        <v>153</v>
      </c>
      <c r="P675">
        <v>156</v>
      </c>
      <c r="Q675" s="2">
        <f>DATE(mergedcleandataset[[#This Row],[yr]],mergedcleandataset[[#This Row],[mnth]],mergedcleandataset[[#This Row],[day]])</f>
        <v>40574</v>
      </c>
      <c r="R675">
        <f>DAY(mergedcleandataset[[#This Row],[dteday]])</f>
        <v>31</v>
      </c>
      <c r="S675" t="str">
        <f>IF(mergedcleandataset[[#This Row],[weekday]]&gt;=5,"Yes","No")</f>
        <v>No</v>
      </c>
      <c r="T675" t="b">
        <f>ISBLANK(mergedcleandataset[[#This Row],[atemp]])</f>
        <v>0</v>
      </c>
      <c r="U675" t="str">
        <f t="shared" si="10"/>
        <v>Spring</v>
      </c>
      <c r="V675" t="str">
        <f>TEXT(mergedcleandataset[[#This Row],[date]],"dddd")</f>
        <v>Monday</v>
      </c>
      <c r="W67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76" spans="1:23" x14ac:dyDescent="0.25">
      <c r="A676">
        <v>684</v>
      </c>
      <c r="B676" s="1">
        <v>40574</v>
      </c>
      <c r="C676">
        <v>1</v>
      </c>
      <c r="D676" t="str">
        <f>TEXT(mergedcleandataset[[#This Row],[dteday]],"yyyy")</f>
        <v>2011</v>
      </c>
      <c r="E676">
        <v>1</v>
      </c>
      <c r="F676">
        <v>19</v>
      </c>
      <c r="G676" t="b">
        <v>0</v>
      </c>
      <c r="H676">
        <v>1</v>
      </c>
      <c r="I676">
        <v>1</v>
      </c>
      <c r="J676">
        <v>0.3</v>
      </c>
      <c r="K676">
        <v>0.31819999999999998</v>
      </c>
      <c r="L676">
        <v>0.61</v>
      </c>
      <c r="M676">
        <v>0.1045</v>
      </c>
      <c r="N676">
        <v>3</v>
      </c>
      <c r="O676">
        <v>108</v>
      </c>
      <c r="P676">
        <v>111</v>
      </c>
      <c r="Q676" s="2">
        <f>DATE(mergedcleandataset[[#This Row],[yr]],mergedcleandataset[[#This Row],[mnth]],mergedcleandataset[[#This Row],[day]])</f>
        <v>40574</v>
      </c>
      <c r="R676">
        <f>DAY(mergedcleandataset[[#This Row],[dteday]])</f>
        <v>31</v>
      </c>
      <c r="S676" t="str">
        <f>IF(mergedcleandataset[[#This Row],[weekday]]&gt;=5,"Yes","No")</f>
        <v>No</v>
      </c>
      <c r="T676" t="b">
        <f>ISBLANK(mergedcleandataset[[#This Row],[atemp]])</f>
        <v>0</v>
      </c>
      <c r="U676" t="str">
        <f t="shared" si="10"/>
        <v>Spring</v>
      </c>
      <c r="V676" t="str">
        <f>TEXT(mergedcleandataset[[#This Row],[date]],"dddd")</f>
        <v>Monday</v>
      </c>
      <c r="W67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677" spans="1:23" x14ac:dyDescent="0.25">
      <c r="A677">
        <v>685</v>
      </c>
      <c r="B677" s="1">
        <v>40574</v>
      </c>
      <c r="C677">
        <v>1</v>
      </c>
      <c r="D677" t="str">
        <f>TEXT(mergedcleandataset[[#This Row],[dteday]],"yyyy")</f>
        <v>2011</v>
      </c>
      <c r="E677">
        <v>1</v>
      </c>
      <c r="F677">
        <v>20</v>
      </c>
      <c r="G677" t="b">
        <v>0</v>
      </c>
      <c r="H677">
        <v>1</v>
      </c>
      <c r="I677">
        <v>3</v>
      </c>
      <c r="J677">
        <v>0.16</v>
      </c>
      <c r="K677">
        <v>0.16669999999999999</v>
      </c>
      <c r="L677">
        <v>0.59</v>
      </c>
      <c r="M677">
        <v>0.16420000000000001</v>
      </c>
      <c r="N677">
        <v>0</v>
      </c>
      <c r="O677">
        <v>78</v>
      </c>
      <c r="P677">
        <v>78</v>
      </c>
      <c r="Q677" s="2">
        <f>DATE(mergedcleandataset[[#This Row],[yr]],mergedcleandataset[[#This Row],[mnth]],mergedcleandataset[[#This Row],[day]])</f>
        <v>40574</v>
      </c>
      <c r="R677">
        <f>DAY(mergedcleandataset[[#This Row],[dteday]])</f>
        <v>31</v>
      </c>
      <c r="S677" t="str">
        <f>IF(mergedcleandataset[[#This Row],[weekday]]&gt;=5,"Yes","No")</f>
        <v>No</v>
      </c>
      <c r="T677" t="b">
        <f>ISBLANK(mergedcleandataset[[#This Row],[atemp]])</f>
        <v>0</v>
      </c>
      <c r="U677" t="str">
        <f t="shared" si="10"/>
        <v>Spring</v>
      </c>
      <c r="V677" t="str">
        <f>TEXT(mergedcleandataset[[#This Row],[date]],"dddd")</f>
        <v>Monday</v>
      </c>
      <c r="W67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78" spans="1:23" x14ac:dyDescent="0.25">
      <c r="A678">
        <v>686</v>
      </c>
      <c r="B678" s="1">
        <v>40574</v>
      </c>
      <c r="C678">
        <v>1</v>
      </c>
      <c r="D678" t="str">
        <f>TEXT(mergedcleandataset[[#This Row],[dteday]],"yyyy")</f>
        <v>2011</v>
      </c>
      <c r="E678">
        <v>1</v>
      </c>
      <c r="F678">
        <v>21</v>
      </c>
      <c r="G678" t="b">
        <v>0</v>
      </c>
      <c r="H678">
        <v>1</v>
      </c>
      <c r="I678">
        <v>3</v>
      </c>
      <c r="J678">
        <v>0.16</v>
      </c>
      <c r="K678">
        <v>0.19700000000000001</v>
      </c>
      <c r="L678">
        <v>0.59</v>
      </c>
      <c r="M678">
        <v>8.9599999999999999E-2</v>
      </c>
      <c r="N678">
        <v>3</v>
      </c>
      <c r="O678">
        <v>53</v>
      </c>
      <c r="P678">
        <v>56</v>
      </c>
      <c r="Q678" s="2">
        <f>DATE(mergedcleandataset[[#This Row],[yr]],mergedcleandataset[[#This Row],[mnth]],mergedcleandataset[[#This Row],[day]])</f>
        <v>40574</v>
      </c>
      <c r="R678">
        <f>DAY(mergedcleandataset[[#This Row],[dteday]])</f>
        <v>31</v>
      </c>
      <c r="S678" t="str">
        <f>IF(mergedcleandataset[[#This Row],[weekday]]&gt;=5,"Yes","No")</f>
        <v>No</v>
      </c>
      <c r="T678" t="b">
        <f>ISBLANK(mergedcleandataset[[#This Row],[atemp]])</f>
        <v>0</v>
      </c>
      <c r="U678" t="str">
        <f t="shared" si="10"/>
        <v>Spring</v>
      </c>
      <c r="V678" t="str">
        <f>TEXT(mergedcleandataset[[#This Row],[date]],"dddd")</f>
        <v>Monday</v>
      </c>
      <c r="W67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79" spans="1:23" x14ac:dyDescent="0.25">
      <c r="A679">
        <v>687</v>
      </c>
      <c r="B679" s="1">
        <v>40574</v>
      </c>
      <c r="C679">
        <v>1</v>
      </c>
      <c r="D679" t="str">
        <f>TEXT(mergedcleandataset[[#This Row],[dteday]],"yyyy")</f>
        <v>2011</v>
      </c>
      <c r="E679">
        <v>1</v>
      </c>
      <c r="F679">
        <v>22</v>
      </c>
      <c r="G679" t="b">
        <v>0</v>
      </c>
      <c r="H679">
        <v>1</v>
      </c>
      <c r="I679">
        <v>2</v>
      </c>
      <c r="J679">
        <v>0.16</v>
      </c>
      <c r="K679">
        <v>0.18179999999999999</v>
      </c>
      <c r="L679">
        <v>0.59</v>
      </c>
      <c r="M679">
        <v>0.1045</v>
      </c>
      <c r="N679">
        <v>0</v>
      </c>
      <c r="O679">
        <v>34</v>
      </c>
      <c r="P679">
        <v>34</v>
      </c>
      <c r="Q679" s="2">
        <f>DATE(mergedcleandataset[[#This Row],[yr]],mergedcleandataset[[#This Row],[mnth]],mergedcleandataset[[#This Row],[day]])</f>
        <v>40574</v>
      </c>
      <c r="R679">
        <f>DAY(mergedcleandataset[[#This Row],[dteday]])</f>
        <v>31</v>
      </c>
      <c r="S679" t="str">
        <f>IF(mergedcleandataset[[#This Row],[weekday]]&gt;=5,"Yes","No")</f>
        <v>No</v>
      </c>
      <c r="T679" t="b">
        <f>ISBLANK(mergedcleandataset[[#This Row],[atemp]])</f>
        <v>0</v>
      </c>
      <c r="U679" t="str">
        <f t="shared" si="10"/>
        <v>Spring</v>
      </c>
      <c r="V679" t="str">
        <f>TEXT(mergedcleandataset[[#This Row],[date]],"dddd")</f>
        <v>Monday</v>
      </c>
      <c r="W67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80" spans="1:23" x14ac:dyDescent="0.25">
      <c r="A680">
        <v>688</v>
      </c>
      <c r="B680" s="1">
        <v>40574</v>
      </c>
      <c r="C680">
        <v>1</v>
      </c>
      <c r="D680" t="str">
        <f>TEXT(mergedcleandataset[[#This Row],[dteday]],"yyyy")</f>
        <v>2011</v>
      </c>
      <c r="E680">
        <v>1</v>
      </c>
      <c r="F680">
        <v>23</v>
      </c>
      <c r="G680" t="b">
        <v>0</v>
      </c>
      <c r="H680">
        <v>1</v>
      </c>
      <c r="I680">
        <v>2</v>
      </c>
      <c r="J680">
        <v>0.16</v>
      </c>
      <c r="K680">
        <v>0.19700000000000001</v>
      </c>
      <c r="L680">
        <v>0.64</v>
      </c>
      <c r="M680">
        <v>8.9599999999999999E-2</v>
      </c>
      <c r="N680">
        <v>2</v>
      </c>
      <c r="O680">
        <v>15</v>
      </c>
      <c r="P680">
        <v>17</v>
      </c>
      <c r="Q680" s="2">
        <f>DATE(mergedcleandataset[[#This Row],[yr]],mergedcleandataset[[#This Row],[mnth]],mergedcleandataset[[#This Row],[day]])</f>
        <v>40574</v>
      </c>
      <c r="R680">
        <f>DAY(mergedcleandataset[[#This Row],[dteday]])</f>
        <v>31</v>
      </c>
      <c r="S680" t="str">
        <f>IF(mergedcleandataset[[#This Row],[weekday]]&gt;=5,"Yes","No")</f>
        <v>No</v>
      </c>
      <c r="T680" t="b">
        <f>ISBLANK(mergedcleandataset[[#This Row],[atemp]])</f>
        <v>0</v>
      </c>
      <c r="U680" t="str">
        <f t="shared" si="10"/>
        <v>Spring</v>
      </c>
      <c r="V680" t="str">
        <f>TEXT(mergedcleandataset[[#This Row],[date]],"dddd")</f>
        <v>Monday</v>
      </c>
      <c r="W68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81" spans="1:23" x14ac:dyDescent="0.25">
      <c r="A681">
        <v>689</v>
      </c>
      <c r="B681" s="1">
        <v>40575</v>
      </c>
      <c r="C681">
        <v>1</v>
      </c>
      <c r="D681" t="str">
        <f>TEXT(mergedcleandataset[[#This Row],[dteday]],"yyyy")</f>
        <v>2011</v>
      </c>
      <c r="E681">
        <v>2</v>
      </c>
      <c r="F681">
        <v>0</v>
      </c>
      <c r="G681" t="b">
        <v>0</v>
      </c>
      <c r="H681">
        <v>2</v>
      </c>
      <c r="I681">
        <v>2</v>
      </c>
      <c r="J681">
        <v>0.16</v>
      </c>
      <c r="K681">
        <v>0.18179999999999999</v>
      </c>
      <c r="L681">
        <v>0.64</v>
      </c>
      <c r="M681">
        <v>0.1045</v>
      </c>
      <c r="N681">
        <v>2</v>
      </c>
      <c r="O681">
        <v>6</v>
      </c>
      <c r="P681">
        <v>8</v>
      </c>
      <c r="Q681" s="2">
        <f>DATE(mergedcleandataset[[#This Row],[yr]],mergedcleandataset[[#This Row],[mnth]],mergedcleandataset[[#This Row],[day]])</f>
        <v>40575</v>
      </c>
      <c r="R681">
        <f>DAY(mergedcleandataset[[#This Row],[dteday]])</f>
        <v>1</v>
      </c>
      <c r="S681" t="str">
        <f>IF(mergedcleandataset[[#This Row],[weekday]]&gt;=5,"Yes","No")</f>
        <v>No</v>
      </c>
      <c r="T681" t="b">
        <f>ISBLANK(mergedcleandataset[[#This Row],[atemp]])</f>
        <v>0</v>
      </c>
      <c r="U681" t="str">
        <f t="shared" si="10"/>
        <v>Spring</v>
      </c>
      <c r="V681" t="str">
        <f>TEXT(mergedcleandataset[[#This Row],[date]],"dddd")</f>
        <v>Tuesday</v>
      </c>
      <c r="W68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82" spans="1:23" x14ac:dyDescent="0.25">
      <c r="A682">
        <v>690</v>
      </c>
      <c r="B682" s="1">
        <v>40575</v>
      </c>
      <c r="C682">
        <v>1</v>
      </c>
      <c r="D682" t="str">
        <f>TEXT(mergedcleandataset[[#This Row],[dteday]],"yyyy")</f>
        <v>2011</v>
      </c>
      <c r="E682">
        <v>2</v>
      </c>
      <c r="F682">
        <v>1</v>
      </c>
      <c r="G682" t="b">
        <v>0</v>
      </c>
      <c r="H682">
        <v>2</v>
      </c>
      <c r="I682">
        <v>2</v>
      </c>
      <c r="J682">
        <v>0.16</v>
      </c>
      <c r="K682">
        <v>0.18179999999999999</v>
      </c>
      <c r="L682">
        <v>0.69</v>
      </c>
      <c r="M682">
        <v>0.1045</v>
      </c>
      <c r="N682">
        <v>0</v>
      </c>
      <c r="O682">
        <v>3</v>
      </c>
      <c r="P682">
        <v>3</v>
      </c>
      <c r="Q682" s="2">
        <f>DATE(mergedcleandataset[[#This Row],[yr]],mergedcleandataset[[#This Row],[mnth]],mergedcleandataset[[#This Row],[day]])</f>
        <v>40575</v>
      </c>
      <c r="R682">
        <f>DAY(mergedcleandataset[[#This Row],[dteday]])</f>
        <v>1</v>
      </c>
      <c r="S682" t="str">
        <f>IF(mergedcleandataset[[#This Row],[weekday]]&gt;=5,"Yes","No")</f>
        <v>No</v>
      </c>
      <c r="T682" t="b">
        <f>ISBLANK(mergedcleandataset[[#This Row],[atemp]])</f>
        <v>0</v>
      </c>
      <c r="U682" t="str">
        <f t="shared" si="10"/>
        <v>Spring</v>
      </c>
      <c r="V682" t="str">
        <f>TEXT(mergedcleandataset[[#This Row],[date]],"dddd")</f>
        <v>Tuesday</v>
      </c>
      <c r="W68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83" spans="1:23" x14ac:dyDescent="0.25">
      <c r="A683">
        <v>691</v>
      </c>
      <c r="B683" s="1">
        <v>40575</v>
      </c>
      <c r="C683">
        <v>1</v>
      </c>
      <c r="D683" t="str">
        <f>TEXT(mergedcleandataset[[#This Row],[dteday]],"yyyy")</f>
        <v>2011</v>
      </c>
      <c r="E683">
        <v>2</v>
      </c>
      <c r="F683">
        <v>2</v>
      </c>
      <c r="G683" t="b">
        <v>0</v>
      </c>
      <c r="H683">
        <v>2</v>
      </c>
      <c r="I683">
        <v>2</v>
      </c>
      <c r="J683">
        <v>0.16</v>
      </c>
      <c r="K683">
        <v>0.2273</v>
      </c>
      <c r="L683">
        <v>0.69</v>
      </c>
      <c r="M683">
        <v>0</v>
      </c>
      <c r="N683">
        <v>0</v>
      </c>
      <c r="O683">
        <v>2</v>
      </c>
      <c r="P683">
        <v>2</v>
      </c>
      <c r="Q683" s="2">
        <f>DATE(mergedcleandataset[[#This Row],[yr]],mergedcleandataset[[#This Row],[mnth]],mergedcleandataset[[#This Row],[day]])</f>
        <v>40575</v>
      </c>
      <c r="R683">
        <f>DAY(mergedcleandataset[[#This Row],[dteday]])</f>
        <v>1</v>
      </c>
      <c r="S683" t="str">
        <f>IF(mergedcleandataset[[#This Row],[weekday]]&gt;=5,"Yes","No")</f>
        <v>No</v>
      </c>
      <c r="T683" t="b">
        <f>ISBLANK(mergedcleandataset[[#This Row],[atemp]])</f>
        <v>0</v>
      </c>
      <c r="U683" t="str">
        <f t="shared" si="10"/>
        <v>Spring</v>
      </c>
      <c r="V683" t="str">
        <f>TEXT(mergedcleandataset[[#This Row],[date]],"dddd")</f>
        <v>Tuesday</v>
      </c>
      <c r="W68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84" spans="1:23" x14ac:dyDescent="0.25">
      <c r="A684">
        <v>692</v>
      </c>
      <c r="B684" s="1">
        <v>40575</v>
      </c>
      <c r="C684">
        <v>1</v>
      </c>
      <c r="D684" t="str">
        <f>TEXT(mergedcleandataset[[#This Row],[dteday]],"yyyy")</f>
        <v>2011</v>
      </c>
      <c r="E684">
        <v>2</v>
      </c>
      <c r="F684">
        <v>3</v>
      </c>
      <c r="G684" t="b">
        <v>0</v>
      </c>
      <c r="H684">
        <v>2</v>
      </c>
      <c r="I684">
        <v>2</v>
      </c>
      <c r="J684">
        <v>0.16</v>
      </c>
      <c r="K684">
        <v>0.2273</v>
      </c>
      <c r="L684">
        <v>0.69</v>
      </c>
      <c r="M684">
        <v>0</v>
      </c>
      <c r="N684">
        <v>0</v>
      </c>
      <c r="O684">
        <v>2</v>
      </c>
      <c r="P684">
        <v>2</v>
      </c>
      <c r="Q684" s="2">
        <f>DATE(mergedcleandataset[[#This Row],[yr]],mergedcleandataset[[#This Row],[mnth]],mergedcleandataset[[#This Row],[day]])</f>
        <v>40575</v>
      </c>
      <c r="R684">
        <f>DAY(mergedcleandataset[[#This Row],[dteday]])</f>
        <v>1</v>
      </c>
      <c r="S684" t="str">
        <f>IF(mergedcleandataset[[#This Row],[weekday]]&gt;=5,"Yes","No")</f>
        <v>No</v>
      </c>
      <c r="T684" t="b">
        <f>ISBLANK(mergedcleandataset[[#This Row],[atemp]])</f>
        <v>0</v>
      </c>
      <c r="U684" t="str">
        <f t="shared" si="10"/>
        <v>Spring</v>
      </c>
      <c r="V684" t="str">
        <f>TEXT(mergedcleandataset[[#This Row],[date]],"dddd")</f>
        <v>Tuesday</v>
      </c>
      <c r="W68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85" spans="1:23" x14ac:dyDescent="0.25">
      <c r="A685">
        <v>693</v>
      </c>
      <c r="B685" s="1">
        <v>40575</v>
      </c>
      <c r="C685">
        <v>1</v>
      </c>
      <c r="D685" t="str">
        <f>TEXT(mergedcleandataset[[#This Row],[dteday]],"yyyy")</f>
        <v>2011</v>
      </c>
      <c r="E685">
        <v>2</v>
      </c>
      <c r="F685">
        <v>5</v>
      </c>
      <c r="G685" t="b">
        <v>0</v>
      </c>
      <c r="H685">
        <v>2</v>
      </c>
      <c r="I685">
        <v>3</v>
      </c>
      <c r="J685">
        <v>0.14000000000000001</v>
      </c>
      <c r="K685">
        <v>0.21210000000000001</v>
      </c>
      <c r="L685">
        <v>0.93</v>
      </c>
      <c r="M685">
        <v>0</v>
      </c>
      <c r="N685">
        <v>0</v>
      </c>
      <c r="O685">
        <v>3</v>
      </c>
      <c r="P685">
        <v>3</v>
      </c>
      <c r="Q685" s="2">
        <f>DATE(mergedcleandataset[[#This Row],[yr]],mergedcleandataset[[#This Row],[mnth]],mergedcleandataset[[#This Row],[day]])</f>
        <v>40575</v>
      </c>
      <c r="R685">
        <f>DAY(mergedcleandataset[[#This Row],[dteday]])</f>
        <v>1</v>
      </c>
      <c r="S685" t="str">
        <f>IF(mergedcleandataset[[#This Row],[weekday]]&gt;=5,"Yes","No")</f>
        <v>No</v>
      </c>
      <c r="T685" t="b">
        <f>ISBLANK(mergedcleandataset[[#This Row],[atemp]])</f>
        <v>0</v>
      </c>
      <c r="U685" t="str">
        <f t="shared" si="10"/>
        <v>Spring</v>
      </c>
      <c r="V685" t="str">
        <f>TEXT(mergedcleandataset[[#This Row],[date]],"dddd")</f>
        <v>Tuesday</v>
      </c>
      <c r="W68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86" spans="1:23" x14ac:dyDescent="0.25">
      <c r="A686">
        <v>694</v>
      </c>
      <c r="B686" s="1">
        <v>40575</v>
      </c>
      <c r="C686">
        <v>1</v>
      </c>
      <c r="D686" t="str">
        <f>TEXT(mergedcleandataset[[#This Row],[dteday]],"yyyy")</f>
        <v>2011</v>
      </c>
      <c r="E686">
        <v>2</v>
      </c>
      <c r="F686">
        <v>6</v>
      </c>
      <c r="G686" t="b">
        <v>0</v>
      </c>
      <c r="H686">
        <v>2</v>
      </c>
      <c r="I686">
        <v>3</v>
      </c>
      <c r="J686">
        <v>0.14000000000000001</v>
      </c>
      <c r="K686">
        <v>0.21210000000000001</v>
      </c>
      <c r="L686">
        <v>0.93</v>
      </c>
      <c r="M686">
        <v>0</v>
      </c>
      <c r="N686">
        <v>0</v>
      </c>
      <c r="O686">
        <v>22</v>
      </c>
      <c r="P686">
        <v>22</v>
      </c>
      <c r="Q686" s="2">
        <f>DATE(mergedcleandataset[[#This Row],[yr]],mergedcleandataset[[#This Row],[mnth]],mergedcleandataset[[#This Row],[day]])</f>
        <v>40575</v>
      </c>
      <c r="R686">
        <f>DAY(mergedcleandataset[[#This Row],[dteday]])</f>
        <v>1</v>
      </c>
      <c r="S686" t="str">
        <f>IF(mergedcleandataset[[#This Row],[weekday]]&gt;=5,"Yes","No")</f>
        <v>No</v>
      </c>
      <c r="T686" t="b">
        <f>ISBLANK(mergedcleandataset[[#This Row],[atemp]])</f>
        <v>0</v>
      </c>
      <c r="U686" t="str">
        <f t="shared" si="10"/>
        <v>Spring</v>
      </c>
      <c r="V686" t="str">
        <f>TEXT(mergedcleandataset[[#This Row],[date]],"dddd")</f>
        <v>Tuesday</v>
      </c>
      <c r="W68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87" spans="1:23" x14ac:dyDescent="0.25">
      <c r="A687">
        <v>695</v>
      </c>
      <c r="B687" s="1">
        <v>40575</v>
      </c>
      <c r="C687">
        <v>1</v>
      </c>
      <c r="D687" t="str">
        <f>TEXT(mergedcleandataset[[#This Row],[dteday]],"yyyy")</f>
        <v>2011</v>
      </c>
      <c r="E687">
        <v>2</v>
      </c>
      <c r="F687">
        <v>7</v>
      </c>
      <c r="G687" t="b">
        <v>0</v>
      </c>
      <c r="H687">
        <v>2</v>
      </c>
      <c r="I687">
        <v>3</v>
      </c>
      <c r="J687">
        <v>0.16</v>
      </c>
      <c r="K687">
        <v>0.2273</v>
      </c>
      <c r="L687">
        <v>0.93</v>
      </c>
      <c r="M687">
        <v>0</v>
      </c>
      <c r="N687">
        <v>0</v>
      </c>
      <c r="O687">
        <v>52</v>
      </c>
      <c r="P687">
        <v>52</v>
      </c>
      <c r="Q687" s="2">
        <f>DATE(mergedcleandataset[[#This Row],[yr]],mergedcleandataset[[#This Row],[mnth]],mergedcleandataset[[#This Row],[day]])</f>
        <v>40575</v>
      </c>
      <c r="R687">
        <f>DAY(mergedcleandataset[[#This Row],[dteday]])</f>
        <v>1</v>
      </c>
      <c r="S687" t="str">
        <f>IF(mergedcleandataset[[#This Row],[weekday]]&gt;=5,"Yes","No")</f>
        <v>No</v>
      </c>
      <c r="T687" t="b">
        <f>ISBLANK(mergedcleandataset[[#This Row],[atemp]])</f>
        <v>0</v>
      </c>
      <c r="U687" t="str">
        <f t="shared" si="10"/>
        <v>Spring</v>
      </c>
      <c r="V687" t="str">
        <f>TEXT(mergedcleandataset[[#This Row],[date]],"dddd")</f>
        <v>Tuesday</v>
      </c>
      <c r="W68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88" spans="1:23" x14ac:dyDescent="0.25">
      <c r="A688">
        <v>696</v>
      </c>
      <c r="B688" s="1">
        <v>40575</v>
      </c>
      <c r="C688">
        <v>1</v>
      </c>
      <c r="D688" t="str">
        <f>TEXT(mergedcleandataset[[#This Row],[dteday]],"yyyy")</f>
        <v>2011</v>
      </c>
      <c r="E688">
        <v>2</v>
      </c>
      <c r="F688">
        <v>8</v>
      </c>
      <c r="G688" t="b">
        <v>0</v>
      </c>
      <c r="H688">
        <v>2</v>
      </c>
      <c r="I688">
        <v>3</v>
      </c>
      <c r="J688">
        <v>0.16</v>
      </c>
      <c r="K688">
        <v>0.2273</v>
      </c>
      <c r="L688">
        <v>0.93</v>
      </c>
      <c r="M688">
        <v>0</v>
      </c>
      <c r="N688">
        <v>3</v>
      </c>
      <c r="O688">
        <v>132</v>
      </c>
      <c r="P688">
        <v>135</v>
      </c>
      <c r="Q688" s="2">
        <f>DATE(mergedcleandataset[[#This Row],[yr]],mergedcleandataset[[#This Row],[mnth]],mergedcleandataset[[#This Row],[day]])</f>
        <v>40575</v>
      </c>
      <c r="R688">
        <f>DAY(mergedcleandataset[[#This Row],[dteday]])</f>
        <v>1</v>
      </c>
      <c r="S688" t="str">
        <f>IF(mergedcleandataset[[#This Row],[weekday]]&gt;=5,"Yes","No")</f>
        <v>No</v>
      </c>
      <c r="T688" t="b">
        <f>ISBLANK(mergedcleandataset[[#This Row],[atemp]])</f>
        <v>0</v>
      </c>
      <c r="U688" t="str">
        <f t="shared" si="10"/>
        <v>Spring</v>
      </c>
      <c r="V688" t="str">
        <f>TEXT(mergedcleandataset[[#This Row],[date]],"dddd")</f>
        <v>Tuesday</v>
      </c>
      <c r="W68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689" spans="1:23" x14ac:dyDescent="0.25">
      <c r="A689">
        <v>697</v>
      </c>
      <c r="B689" s="1">
        <v>40575</v>
      </c>
      <c r="C689">
        <v>1</v>
      </c>
      <c r="D689" t="str">
        <f>TEXT(mergedcleandataset[[#This Row],[dteday]],"yyyy")</f>
        <v>2011</v>
      </c>
      <c r="E689">
        <v>2</v>
      </c>
      <c r="F689">
        <v>9</v>
      </c>
      <c r="G689" t="b">
        <v>0</v>
      </c>
      <c r="H689">
        <v>2</v>
      </c>
      <c r="I689">
        <v>2</v>
      </c>
      <c r="J689">
        <v>0.16</v>
      </c>
      <c r="K689">
        <v>0.2273</v>
      </c>
      <c r="L689">
        <v>0.93</v>
      </c>
      <c r="M689">
        <v>0</v>
      </c>
      <c r="N689">
        <v>2</v>
      </c>
      <c r="O689">
        <v>114</v>
      </c>
      <c r="P689">
        <v>116</v>
      </c>
      <c r="Q689" s="2">
        <f>DATE(mergedcleandataset[[#This Row],[yr]],mergedcleandataset[[#This Row],[mnth]],mergedcleandataset[[#This Row],[day]])</f>
        <v>40575</v>
      </c>
      <c r="R689">
        <f>DAY(mergedcleandataset[[#This Row],[dteday]])</f>
        <v>1</v>
      </c>
      <c r="S689" t="str">
        <f>IF(mergedcleandataset[[#This Row],[weekday]]&gt;=5,"Yes","No")</f>
        <v>No</v>
      </c>
      <c r="T689" t="b">
        <f>ISBLANK(mergedcleandataset[[#This Row],[atemp]])</f>
        <v>0</v>
      </c>
      <c r="U689" t="str">
        <f t="shared" si="10"/>
        <v>Spring</v>
      </c>
      <c r="V689" t="str">
        <f>TEXT(mergedcleandataset[[#This Row],[date]],"dddd")</f>
        <v>Tuesday</v>
      </c>
      <c r="W68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0" spans="1:23" x14ac:dyDescent="0.25">
      <c r="A690">
        <v>698</v>
      </c>
      <c r="B690" s="1">
        <v>40575</v>
      </c>
      <c r="C690">
        <v>1</v>
      </c>
      <c r="D690" t="str">
        <f>TEXT(mergedcleandataset[[#This Row],[dteday]],"yyyy")</f>
        <v>2011</v>
      </c>
      <c r="E690">
        <v>2</v>
      </c>
      <c r="F690">
        <v>10</v>
      </c>
      <c r="G690" t="b">
        <v>0</v>
      </c>
      <c r="H690">
        <v>2</v>
      </c>
      <c r="I690">
        <v>2</v>
      </c>
      <c r="J690">
        <v>0.16</v>
      </c>
      <c r="K690">
        <v>0.2273</v>
      </c>
      <c r="L690">
        <v>0.93</v>
      </c>
      <c r="M690">
        <v>0</v>
      </c>
      <c r="N690">
        <v>0</v>
      </c>
      <c r="O690">
        <v>47</v>
      </c>
      <c r="P690">
        <v>47</v>
      </c>
      <c r="Q690" s="2">
        <f>DATE(mergedcleandataset[[#This Row],[yr]],mergedcleandataset[[#This Row],[mnth]],mergedcleandataset[[#This Row],[day]])</f>
        <v>40575</v>
      </c>
      <c r="R690">
        <f>DAY(mergedcleandataset[[#This Row],[dteday]])</f>
        <v>1</v>
      </c>
      <c r="S690" t="str">
        <f>IF(mergedcleandataset[[#This Row],[weekday]]&gt;=5,"Yes","No")</f>
        <v>No</v>
      </c>
      <c r="T690" t="b">
        <f>ISBLANK(mergedcleandataset[[#This Row],[atemp]])</f>
        <v>0</v>
      </c>
      <c r="U690" t="str">
        <f t="shared" si="10"/>
        <v>Spring</v>
      </c>
      <c r="V690" t="str">
        <f>TEXT(mergedcleandataset[[#This Row],[date]],"dddd")</f>
        <v>Tuesday</v>
      </c>
      <c r="W69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1" spans="1:23" x14ac:dyDescent="0.25">
      <c r="A691">
        <v>699</v>
      </c>
      <c r="B691" s="1">
        <v>40575</v>
      </c>
      <c r="C691">
        <v>1</v>
      </c>
      <c r="D691" t="str">
        <f>TEXT(mergedcleandataset[[#This Row],[dteday]],"yyyy")</f>
        <v>2011</v>
      </c>
      <c r="E691">
        <v>2</v>
      </c>
      <c r="F691">
        <v>11</v>
      </c>
      <c r="G691" t="b">
        <v>0</v>
      </c>
      <c r="H691">
        <v>2</v>
      </c>
      <c r="I691">
        <v>2</v>
      </c>
      <c r="J691">
        <v>0.18</v>
      </c>
      <c r="K691">
        <v>0.2424</v>
      </c>
      <c r="L691">
        <v>0.86</v>
      </c>
      <c r="M691">
        <v>0</v>
      </c>
      <c r="N691">
        <v>2</v>
      </c>
      <c r="O691">
        <v>49</v>
      </c>
      <c r="P691">
        <v>51</v>
      </c>
      <c r="Q691" s="2">
        <f>DATE(mergedcleandataset[[#This Row],[yr]],mergedcleandataset[[#This Row],[mnth]],mergedcleandataset[[#This Row],[day]])</f>
        <v>40575</v>
      </c>
      <c r="R691">
        <f>DAY(mergedcleandataset[[#This Row],[dteday]])</f>
        <v>1</v>
      </c>
      <c r="S691" t="str">
        <f>IF(mergedcleandataset[[#This Row],[weekday]]&gt;=5,"Yes","No")</f>
        <v>No</v>
      </c>
      <c r="T691" t="b">
        <f>ISBLANK(mergedcleandataset[[#This Row],[atemp]])</f>
        <v>0</v>
      </c>
      <c r="U691" t="str">
        <f t="shared" si="10"/>
        <v>Spring</v>
      </c>
      <c r="V691" t="str">
        <f>TEXT(mergedcleandataset[[#This Row],[date]],"dddd")</f>
        <v>Tuesday</v>
      </c>
      <c r="W69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2" spans="1:23" x14ac:dyDescent="0.25">
      <c r="A692">
        <v>700</v>
      </c>
      <c r="B692" s="1">
        <v>40575</v>
      </c>
      <c r="C692">
        <v>1</v>
      </c>
      <c r="D692" t="str">
        <f>TEXT(mergedcleandataset[[#This Row],[dteday]],"yyyy")</f>
        <v>2011</v>
      </c>
      <c r="E692">
        <v>2</v>
      </c>
      <c r="F692">
        <v>12</v>
      </c>
      <c r="G692" t="b">
        <v>0</v>
      </c>
      <c r="H692">
        <v>2</v>
      </c>
      <c r="I692">
        <v>2</v>
      </c>
      <c r="J692">
        <v>0.2</v>
      </c>
      <c r="K692">
        <v>0.2576</v>
      </c>
      <c r="L692">
        <v>0.86</v>
      </c>
      <c r="M692">
        <v>0</v>
      </c>
      <c r="N692">
        <v>2</v>
      </c>
      <c r="O692">
        <v>53</v>
      </c>
      <c r="P692">
        <v>55</v>
      </c>
      <c r="Q692" s="2">
        <f>DATE(mergedcleandataset[[#This Row],[yr]],mergedcleandataset[[#This Row],[mnth]],mergedcleandataset[[#This Row],[day]])</f>
        <v>40575</v>
      </c>
      <c r="R692">
        <f>DAY(mergedcleandataset[[#This Row],[dteday]])</f>
        <v>1</v>
      </c>
      <c r="S692" t="str">
        <f>IF(mergedcleandataset[[#This Row],[weekday]]&gt;=5,"Yes","No")</f>
        <v>No</v>
      </c>
      <c r="T692" t="b">
        <f>ISBLANK(mergedcleandataset[[#This Row],[atemp]])</f>
        <v>0</v>
      </c>
      <c r="U692" t="str">
        <f t="shared" si="10"/>
        <v>Spring</v>
      </c>
      <c r="V692" t="str">
        <f>TEXT(mergedcleandataset[[#This Row],[date]],"dddd")</f>
        <v>Tuesday</v>
      </c>
      <c r="W69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3" spans="1:23" x14ac:dyDescent="0.25">
      <c r="A693">
        <v>701</v>
      </c>
      <c r="B693" s="1">
        <v>40575</v>
      </c>
      <c r="C693">
        <v>1</v>
      </c>
      <c r="D693" t="str">
        <f>TEXT(mergedcleandataset[[#This Row],[dteday]],"yyyy")</f>
        <v>2011</v>
      </c>
      <c r="E693">
        <v>2</v>
      </c>
      <c r="F693">
        <v>13</v>
      </c>
      <c r="G693" t="b">
        <v>0</v>
      </c>
      <c r="H693">
        <v>2</v>
      </c>
      <c r="I693">
        <v>2</v>
      </c>
      <c r="J693">
        <v>0.2</v>
      </c>
      <c r="K693">
        <v>0.2576</v>
      </c>
      <c r="L693">
        <v>0.86</v>
      </c>
      <c r="M693">
        <v>0</v>
      </c>
      <c r="N693">
        <v>3</v>
      </c>
      <c r="O693">
        <v>49</v>
      </c>
      <c r="P693">
        <v>52</v>
      </c>
      <c r="Q693" s="2">
        <f>DATE(mergedcleandataset[[#This Row],[yr]],mergedcleandataset[[#This Row],[mnth]],mergedcleandataset[[#This Row],[day]])</f>
        <v>40575</v>
      </c>
      <c r="R693">
        <f>DAY(mergedcleandataset[[#This Row],[dteday]])</f>
        <v>1</v>
      </c>
      <c r="S693" t="str">
        <f>IF(mergedcleandataset[[#This Row],[weekday]]&gt;=5,"Yes","No")</f>
        <v>No</v>
      </c>
      <c r="T693" t="b">
        <f>ISBLANK(mergedcleandataset[[#This Row],[atemp]])</f>
        <v>0</v>
      </c>
      <c r="U693" t="str">
        <f t="shared" si="10"/>
        <v>Spring</v>
      </c>
      <c r="V693" t="str">
        <f>TEXT(mergedcleandataset[[#This Row],[date]],"dddd")</f>
        <v>Tuesday</v>
      </c>
      <c r="W69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4" spans="1:23" x14ac:dyDescent="0.25">
      <c r="A694">
        <v>702</v>
      </c>
      <c r="B694" s="1">
        <v>40575</v>
      </c>
      <c r="C694">
        <v>1</v>
      </c>
      <c r="D694" t="str">
        <f>TEXT(mergedcleandataset[[#This Row],[dteday]],"yyyy")</f>
        <v>2011</v>
      </c>
      <c r="E694">
        <v>2</v>
      </c>
      <c r="F694">
        <v>14</v>
      </c>
      <c r="G694" t="b">
        <v>0</v>
      </c>
      <c r="H694">
        <v>2</v>
      </c>
      <c r="I694">
        <v>2</v>
      </c>
      <c r="J694">
        <v>0.22</v>
      </c>
      <c r="K694">
        <v>0.2576</v>
      </c>
      <c r="L694">
        <v>0.8</v>
      </c>
      <c r="M694">
        <v>8.9599999999999999E-2</v>
      </c>
      <c r="N694">
        <v>5</v>
      </c>
      <c r="O694">
        <v>49</v>
      </c>
      <c r="P694">
        <v>54</v>
      </c>
      <c r="Q694" s="2">
        <f>DATE(mergedcleandataset[[#This Row],[yr]],mergedcleandataset[[#This Row],[mnth]],mergedcleandataset[[#This Row],[day]])</f>
        <v>40575</v>
      </c>
      <c r="R694">
        <f>DAY(mergedcleandataset[[#This Row],[dteday]])</f>
        <v>1</v>
      </c>
      <c r="S694" t="str">
        <f>IF(mergedcleandataset[[#This Row],[weekday]]&gt;=5,"Yes","No")</f>
        <v>No</v>
      </c>
      <c r="T694" t="b">
        <f>ISBLANK(mergedcleandataset[[#This Row],[atemp]])</f>
        <v>0</v>
      </c>
      <c r="U694" t="str">
        <f t="shared" si="10"/>
        <v>Spring</v>
      </c>
      <c r="V694" t="str">
        <f>TEXT(mergedcleandataset[[#This Row],[date]],"dddd")</f>
        <v>Tuesday</v>
      </c>
      <c r="W69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5" spans="1:23" x14ac:dyDescent="0.25">
      <c r="A695">
        <v>703</v>
      </c>
      <c r="B695" s="1">
        <v>40575</v>
      </c>
      <c r="C695">
        <v>1</v>
      </c>
      <c r="D695" t="str">
        <f>TEXT(mergedcleandataset[[#This Row],[dteday]],"yyyy")</f>
        <v>2011</v>
      </c>
      <c r="E695">
        <v>2</v>
      </c>
      <c r="F695">
        <v>15</v>
      </c>
      <c r="G695" t="b">
        <v>0</v>
      </c>
      <c r="H695">
        <v>2</v>
      </c>
      <c r="I695">
        <v>2</v>
      </c>
      <c r="J695">
        <v>0.24</v>
      </c>
      <c r="K695">
        <v>0.28789999999999999</v>
      </c>
      <c r="L695">
        <v>0.75</v>
      </c>
      <c r="M695">
        <v>0</v>
      </c>
      <c r="N695">
        <v>7</v>
      </c>
      <c r="O695">
        <v>45</v>
      </c>
      <c r="P695">
        <v>52</v>
      </c>
      <c r="Q695" s="2">
        <f>DATE(mergedcleandataset[[#This Row],[yr]],mergedcleandataset[[#This Row],[mnth]],mergedcleandataset[[#This Row],[day]])</f>
        <v>40575</v>
      </c>
      <c r="R695">
        <f>DAY(mergedcleandataset[[#This Row],[dteday]])</f>
        <v>1</v>
      </c>
      <c r="S695" t="str">
        <f>IF(mergedcleandataset[[#This Row],[weekday]]&gt;=5,"Yes","No")</f>
        <v>No</v>
      </c>
      <c r="T695" t="b">
        <f>ISBLANK(mergedcleandataset[[#This Row],[atemp]])</f>
        <v>0</v>
      </c>
      <c r="U695" t="str">
        <f t="shared" si="10"/>
        <v>Spring</v>
      </c>
      <c r="V695" t="str">
        <f>TEXT(mergedcleandataset[[#This Row],[date]],"dddd")</f>
        <v>Tuesday</v>
      </c>
      <c r="W69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6" spans="1:23" x14ac:dyDescent="0.25">
      <c r="A696">
        <v>704</v>
      </c>
      <c r="B696" s="1">
        <v>40575</v>
      </c>
      <c r="C696">
        <v>1</v>
      </c>
      <c r="D696" t="str">
        <f>TEXT(mergedcleandataset[[#This Row],[dteday]],"yyyy")</f>
        <v>2011</v>
      </c>
      <c r="E696">
        <v>2</v>
      </c>
      <c r="F696">
        <v>16</v>
      </c>
      <c r="G696" t="b">
        <v>0</v>
      </c>
      <c r="H696">
        <v>2</v>
      </c>
      <c r="I696">
        <v>2</v>
      </c>
      <c r="J696">
        <v>0.24</v>
      </c>
      <c r="K696">
        <v>0.2424</v>
      </c>
      <c r="L696">
        <v>0.75</v>
      </c>
      <c r="M696">
        <v>0.1343</v>
      </c>
      <c r="N696">
        <v>3</v>
      </c>
      <c r="O696">
        <v>61</v>
      </c>
      <c r="P696">
        <v>64</v>
      </c>
      <c r="Q696" s="2">
        <f>DATE(mergedcleandataset[[#This Row],[yr]],mergedcleandataset[[#This Row],[mnth]],mergedcleandataset[[#This Row],[day]])</f>
        <v>40575</v>
      </c>
      <c r="R696">
        <f>DAY(mergedcleandataset[[#This Row],[dteday]])</f>
        <v>1</v>
      </c>
      <c r="S696" t="str">
        <f>IF(mergedcleandataset[[#This Row],[weekday]]&gt;=5,"Yes","No")</f>
        <v>No</v>
      </c>
      <c r="T696" t="b">
        <f>ISBLANK(mergedcleandataset[[#This Row],[atemp]])</f>
        <v>0</v>
      </c>
      <c r="U696" t="str">
        <f t="shared" si="10"/>
        <v>Spring</v>
      </c>
      <c r="V696" t="str">
        <f>TEXT(mergedcleandataset[[#This Row],[date]],"dddd")</f>
        <v>Tuesday</v>
      </c>
      <c r="W69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7" spans="1:23" x14ac:dyDescent="0.25">
      <c r="A697">
        <v>705</v>
      </c>
      <c r="B697" s="1">
        <v>40575</v>
      </c>
      <c r="C697">
        <v>1</v>
      </c>
      <c r="D697" t="str">
        <f>TEXT(mergedcleandataset[[#This Row],[dteday]],"yyyy")</f>
        <v>2011</v>
      </c>
      <c r="E697">
        <v>2</v>
      </c>
      <c r="F697">
        <v>17</v>
      </c>
      <c r="G697" t="b">
        <v>0</v>
      </c>
      <c r="H697">
        <v>2</v>
      </c>
      <c r="I697">
        <v>2</v>
      </c>
      <c r="J697">
        <v>0.24</v>
      </c>
      <c r="K697">
        <v>0.28789999999999999</v>
      </c>
      <c r="L697">
        <v>0.75</v>
      </c>
      <c r="M697">
        <v>0</v>
      </c>
      <c r="N697">
        <v>4</v>
      </c>
      <c r="O697">
        <v>172</v>
      </c>
      <c r="P697">
        <v>176</v>
      </c>
      <c r="Q697" s="2">
        <f>DATE(mergedcleandataset[[#This Row],[yr]],mergedcleandataset[[#This Row],[mnth]],mergedcleandataset[[#This Row],[day]])</f>
        <v>40575</v>
      </c>
      <c r="R697">
        <f>DAY(mergedcleandataset[[#This Row],[dteday]])</f>
        <v>1</v>
      </c>
      <c r="S697" t="str">
        <f>IF(mergedcleandataset[[#This Row],[weekday]]&gt;=5,"Yes","No")</f>
        <v>No</v>
      </c>
      <c r="T697" t="b">
        <f>ISBLANK(mergedcleandataset[[#This Row],[atemp]])</f>
        <v>0</v>
      </c>
      <c r="U697" t="str">
        <f t="shared" si="10"/>
        <v>Spring</v>
      </c>
      <c r="V697" t="str">
        <f>TEXT(mergedcleandataset[[#This Row],[date]],"dddd")</f>
        <v>Tuesday</v>
      </c>
      <c r="W69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8" spans="1:23" x14ac:dyDescent="0.25">
      <c r="A698">
        <v>706</v>
      </c>
      <c r="B698" s="1">
        <v>40575</v>
      </c>
      <c r="C698">
        <v>1</v>
      </c>
      <c r="D698" t="str">
        <f>TEXT(mergedcleandataset[[#This Row],[dteday]],"yyyy")</f>
        <v>2011</v>
      </c>
      <c r="E698">
        <v>2</v>
      </c>
      <c r="F698">
        <v>18</v>
      </c>
      <c r="G698" t="b">
        <v>0</v>
      </c>
      <c r="H698">
        <v>2</v>
      </c>
      <c r="I698">
        <v>2</v>
      </c>
      <c r="J698">
        <v>0.24</v>
      </c>
      <c r="K698">
        <v>0.2576</v>
      </c>
      <c r="L698">
        <v>0.81</v>
      </c>
      <c r="M698">
        <v>0.1045</v>
      </c>
      <c r="N698">
        <v>3</v>
      </c>
      <c r="O698">
        <v>165</v>
      </c>
      <c r="P698">
        <v>168</v>
      </c>
      <c r="Q698" s="2">
        <f>DATE(mergedcleandataset[[#This Row],[yr]],mergedcleandataset[[#This Row],[mnth]],mergedcleandataset[[#This Row],[day]])</f>
        <v>40575</v>
      </c>
      <c r="R698">
        <f>DAY(mergedcleandataset[[#This Row],[dteday]])</f>
        <v>1</v>
      </c>
      <c r="S698" t="str">
        <f>IF(mergedcleandataset[[#This Row],[weekday]]&gt;=5,"Yes","No")</f>
        <v>No</v>
      </c>
      <c r="T698" t="b">
        <f>ISBLANK(mergedcleandataset[[#This Row],[atemp]])</f>
        <v>0</v>
      </c>
      <c r="U698" t="str">
        <f t="shared" si="10"/>
        <v>Spring</v>
      </c>
      <c r="V698" t="str">
        <f>TEXT(mergedcleandataset[[#This Row],[date]],"dddd")</f>
        <v>Tuesday</v>
      </c>
      <c r="W69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699" spans="1:23" x14ac:dyDescent="0.25">
      <c r="A699">
        <v>707</v>
      </c>
      <c r="B699" s="1">
        <v>40575</v>
      </c>
      <c r="C699">
        <v>1</v>
      </c>
      <c r="D699" t="str">
        <f>TEXT(mergedcleandataset[[#This Row],[dteday]],"yyyy")</f>
        <v>2011</v>
      </c>
      <c r="E699">
        <v>2</v>
      </c>
      <c r="F699">
        <v>19</v>
      </c>
      <c r="G699" t="b">
        <v>0</v>
      </c>
      <c r="H699">
        <v>2</v>
      </c>
      <c r="I699">
        <v>2</v>
      </c>
      <c r="J699">
        <v>0.24</v>
      </c>
      <c r="K699">
        <v>0.2424</v>
      </c>
      <c r="L699">
        <v>0.81</v>
      </c>
      <c r="M699">
        <v>0.1343</v>
      </c>
      <c r="N699">
        <v>3</v>
      </c>
      <c r="O699">
        <v>105</v>
      </c>
      <c r="P699">
        <v>108</v>
      </c>
      <c r="Q699" s="2">
        <f>DATE(mergedcleandataset[[#This Row],[yr]],mergedcleandataset[[#This Row],[mnth]],mergedcleandataset[[#This Row],[day]])</f>
        <v>40575</v>
      </c>
      <c r="R699">
        <f>DAY(mergedcleandataset[[#This Row],[dteday]])</f>
        <v>1</v>
      </c>
      <c r="S699" t="str">
        <f>IF(mergedcleandataset[[#This Row],[weekday]]&gt;=5,"Yes","No")</f>
        <v>No</v>
      </c>
      <c r="T699" t="b">
        <f>ISBLANK(mergedcleandataset[[#This Row],[atemp]])</f>
        <v>0</v>
      </c>
      <c r="U699" t="str">
        <f t="shared" si="10"/>
        <v>Spring</v>
      </c>
      <c r="V699" t="str">
        <f>TEXT(mergedcleandataset[[#This Row],[date]],"dddd")</f>
        <v>Tuesday</v>
      </c>
      <c r="W69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00" spans="1:23" x14ac:dyDescent="0.25">
      <c r="A700">
        <v>708</v>
      </c>
      <c r="B700" s="1">
        <v>40575</v>
      </c>
      <c r="C700">
        <v>1</v>
      </c>
      <c r="D700" t="str">
        <f>TEXT(mergedcleandataset[[#This Row],[dteday]],"yyyy")</f>
        <v>2011</v>
      </c>
      <c r="E700">
        <v>2</v>
      </c>
      <c r="F700">
        <v>20</v>
      </c>
      <c r="G700" t="b">
        <v>0</v>
      </c>
      <c r="H700">
        <v>2</v>
      </c>
      <c r="I700">
        <v>2</v>
      </c>
      <c r="J700">
        <v>0.22</v>
      </c>
      <c r="K700">
        <v>0.2273</v>
      </c>
      <c r="L700">
        <v>0.87</v>
      </c>
      <c r="M700">
        <v>0.1343</v>
      </c>
      <c r="N700">
        <v>5</v>
      </c>
      <c r="O700">
        <v>69</v>
      </c>
      <c r="P700">
        <v>74</v>
      </c>
      <c r="Q700" s="2">
        <f>DATE(mergedcleandataset[[#This Row],[yr]],mergedcleandataset[[#This Row],[mnth]],mergedcleandataset[[#This Row],[day]])</f>
        <v>40575</v>
      </c>
      <c r="R700">
        <f>DAY(mergedcleandataset[[#This Row],[dteday]])</f>
        <v>1</v>
      </c>
      <c r="S700" t="str">
        <f>IF(mergedcleandataset[[#This Row],[weekday]]&gt;=5,"Yes","No")</f>
        <v>No</v>
      </c>
      <c r="T700" t="b">
        <f>ISBLANK(mergedcleandataset[[#This Row],[atemp]])</f>
        <v>0</v>
      </c>
      <c r="U700" t="str">
        <f t="shared" si="10"/>
        <v>Spring</v>
      </c>
      <c r="V700" t="str">
        <f>TEXT(mergedcleandataset[[#This Row],[date]],"dddd")</f>
        <v>Tuesday</v>
      </c>
      <c r="W70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01" spans="1:23" x14ac:dyDescent="0.25">
      <c r="A701">
        <v>709</v>
      </c>
      <c r="B701" s="1">
        <v>40575</v>
      </c>
      <c r="C701">
        <v>1</v>
      </c>
      <c r="D701" t="str">
        <f>TEXT(mergedcleandataset[[#This Row],[dteday]],"yyyy")</f>
        <v>2011</v>
      </c>
      <c r="E701">
        <v>2</v>
      </c>
      <c r="F701">
        <v>21</v>
      </c>
      <c r="G701" t="b">
        <v>0</v>
      </c>
      <c r="H701">
        <v>2</v>
      </c>
      <c r="I701">
        <v>2</v>
      </c>
      <c r="J701">
        <v>0.22</v>
      </c>
      <c r="K701">
        <v>0.2273</v>
      </c>
      <c r="L701">
        <v>0.87</v>
      </c>
      <c r="M701">
        <v>0.1343</v>
      </c>
      <c r="N701">
        <v>0</v>
      </c>
      <c r="O701">
        <v>64</v>
      </c>
      <c r="P701">
        <v>64</v>
      </c>
      <c r="Q701" s="2">
        <f>DATE(mergedcleandataset[[#This Row],[yr]],mergedcleandataset[[#This Row],[mnth]],mergedcleandataset[[#This Row],[day]])</f>
        <v>40575</v>
      </c>
      <c r="R701">
        <f>DAY(mergedcleandataset[[#This Row],[dteday]])</f>
        <v>1</v>
      </c>
      <c r="S701" t="str">
        <f>IF(mergedcleandataset[[#This Row],[weekday]]&gt;=5,"Yes","No")</f>
        <v>No</v>
      </c>
      <c r="T701" t="b">
        <f>ISBLANK(mergedcleandataset[[#This Row],[atemp]])</f>
        <v>0</v>
      </c>
      <c r="U701" t="str">
        <f t="shared" si="10"/>
        <v>Spring</v>
      </c>
      <c r="V701" t="str">
        <f>TEXT(mergedcleandataset[[#This Row],[date]],"dddd")</f>
        <v>Tuesday</v>
      </c>
      <c r="W70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02" spans="1:23" x14ac:dyDescent="0.25">
      <c r="A702">
        <v>710</v>
      </c>
      <c r="B702" s="1">
        <v>40575</v>
      </c>
      <c r="C702">
        <v>1</v>
      </c>
      <c r="D702" t="str">
        <f>TEXT(mergedcleandataset[[#This Row],[dteday]],"yyyy")</f>
        <v>2011</v>
      </c>
      <c r="E702">
        <v>2</v>
      </c>
      <c r="F702">
        <v>22</v>
      </c>
      <c r="G702" t="b">
        <v>0</v>
      </c>
      <c r="H702">
        <v>2</v>
      </c>
      <c r="I702">
        <v>2</v>
      </c>
      <c r="J702">
        <v>0.22</v>
      </c>
      <c r="K702">
        <v>0.2576</v>
      </c>
      <c r="L702">
        <v>0.87</v>
      </c>
      <c r="M702">
        <v>8.9599999999999999E-2</v>
      </c>
      <c r="N702">
        <v>2</v>
      </c>
      <c r="O702">
        <v>34</v>
      </c>
      <c r="P702">
        <v>36</v>
      </c>
      <c r="Q702" s="2">
        <f>DATE(mergedcleandataset[[#This Row],[yr]],mergedcleandataset[[#This Row],[mnth]],mergedcleandataset[[#This Row],[day]])</f>
        <v>40575</v>
      </c>
      <c r="R702">
        <f>DAY(mergedcleandataset[[#This Row],[dteday]])</f>
        <v>1</v>
      </c>
      <c r="S702" t="str">
        <f>IF(mergedcleandataset[[#This Row],[weekday]]&gt;=5,"Yes","No")</f>
        <v>No</v>
      </c>
      <c r="T702" t="b">
        <f>ISBLANK(mergedcleandataset[[#This Row],[atemp]])</f>
        <v>0</v>
      </c>
      <c r="U702" t="str">
        <f t="shared" si="10"/>
        <v>Spring</v>
      </c>
      <c r="V702" t="str">
        <f>TEXT(mergedcleandataset[[#This Row],[date]],"dddd")</f>
        <v>Tuesday</v>
      </c>
      <c r="W70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03" spans="1:23" x14ac:dyDescent="0.25">
      <c r="A703">
        <v>711</v>
      </c>
      <c r="B703" s="1">
        <v>40575</v>
      </c>
      <c r="C703">
        <v>1</v>
      </c>
      <c r="D703" t="str">
        <f>TEXT(mergedcleandataset[[#This Row],[dteday]],"yyyy")</f>
        <v>2011</v>
      </c>
      <c r="E703">
        <v>2</v>
      </c>
      <c r="F703">
        <v>23</v>
      </c>
      <c r="G703" t="b">
        <v>0</v>
      </c>
      <c r="H703">
        <v>2</v>
      </c>
      <c r="I703">
        <v>3</v>
      </c>
      <c r="J703">
        <v>0.2</v>
      </c>
      <c r="K703">
        <v>0.19700000000000001</v>
      </c>
      <c r="L703">
        <v>0.93</v>
      </c>
      <c r="M703">
        <v>0.19400000000000001</v>
      </c>
      <c r="N703">
        <v>1</v>
      </c>
      <c r="O703">
        <v>15</v>
      </c>
      <c r="P703">
        <v>16</v>
      </c>
      <c r="Q703" s="2">
        <f>DATE(mergedcleandataset[[#This Row],[yr]],mergedcleandataset[[#This Row],[mnth]],mergedcleandataset[[#This Row],[day]])</f>
        <v>40575</v>
      </c>
      <c r="R703">
        <f>DAY(mergedcleandataset[[#This Row],[dteday]])</f>
        <v>1</v>
      </c>
      <c r="S703" t="str">
        <f>IF(mergedcleandataset[[#This Row],[weekday]]&gt;=5,"Yes","No")</f>
        <v>No</v>
      </c>
      <c r="T703" t="b">
        <f>ISBLANK(mergedcleandataset[[#This Row],[atemp]])</f>
        <v>0</v>
      </c>
      <c r="U703" t="str">
        <f t="shared" si="10"/>
        <v>Spring</v>
      </c>
      <c r="V703" t="str">
        <f>TEXT(mergedcleandataset[[#This Row],[date]],"dddd")</f>
        <v>Tuesday</v>
      </c>
      <c r="W70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04" spans="1:23" x14ac:dyDescent="0.25">
      <c r="A704">
        <v>712</v>
      </c>
      <c r="B704" s="1">
        <v>40576</v>
      </c>
      <c r="C704">
        <v>1</v>
      </c>
      <c r="D704" t="str">
        <f>TEXT(mergedcleandataset[[#This Row],[dteday]],"yyyy")</f>
        <v>2011</v>
      </c>
      <c r="E704">
        <v>2</v>
      </c>
      <c r="F704">
        <v>0</v>
      </c>
      <c r="G704" t="b">
        <v>0</v>
      </c>
      <c r="H704">
        <v>3</v>
      </c>
      <c r="I704">
        <v>3</v>
      </c>
      <c r="J704">
        <v>0.22</v>
      </c>
      <c r="K704">
        <v>0.2424</v>
      </c>
      <c r="L704">
        <v>0.93</v>
      </c>
      <c r="M704">
        <v>0.1045</v>
      </c>
      <c r="N704">
        <v>0</v>
      </c>
      <c r="O704">
        <v>2</v>
      </c>
      <c r="P704">
        <v>2</v>
      </c>
      <c r="Q704" s="2">
        <f>DATE(mergedcleandataset[[#This Row],[yr]],mergedcleandataset[[#This Row],[mnth]],mergedcleandataset[[#This Row],[day]])</f>
        <v>40576</v>
      </c>
      <c r="R704">
        <f>DAY(mergedcleandataset[[#This Row],[dteday]])</f>
        <v>2</v>
      </c>
      <c r="S704" t="str">
        <f>IF(mergedcleandataset[[#This Row],[weekday]]&gt;=5,"Yes","No")</f>
        <v>No</v>
      </c>
      <c r="T704" t="b">
        <f>ISBLANK(mergedcleandataset[[#This Row],[atemp]])</f>
        <v>0</v>
      </c>
      <c r="U704" t="str">
        <f t="shared" si="10"/>
        <v>Spring</v>
      </c>
      <c r="V704" t="str">
        <f>TEXT(mergedcleandataset[[#This Row],[date]],"dddd")</f>
        <v>Wednesday</v>
      </c>
      <c r="W70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05" spans="1:23" x14ac:dyDescent="0.25">
      <c r="A705">
        <v>713</v>
      </c>
      <c r="B705" s="1">
        <v>40576</v>
      </c>
      <c r="C705">
        <v>1</v>
      </c>
      <c r="D705" t="str">
        <f>TEXT(mergedcleandataset[[#This Row],[dteday]],"yyyy")</f>
        <v>2011</v>
      </c>
      <c r="E705">
        <v>2</v>
      </c>
      <c r="F705">
        <v>1</v>
      </c>
      <c r="G705" t="b">
        <v>0</v>
      </c>
      <c r="H705">
        <v>3</v>
      </c>
      <c r="I705">
        <v>3</v>
      </c>
      <c r="J705">
        <v>0.22</v>
      </c>
      <c r="K705">
        <v>0.2273</v>
      </c>
      <c r="L705">
        <v>0.93</v>
      </c>
      <c r="M705">
        <v>0.19400000000000001</v>
      </c>
      <c r="N705">
        <v>0</v>
      </c>
      <c r="O705">
        <v>3</v>
      </c>
      <c r="P705">
        <v>3</v>
      </c>
      <c r="Q705" s="2">
        <f>DATE(mergedcleandataset[[#This Row],[yr]],mergedcleandataset[[#This Row],[mnth]],mergedcleandataset[[#This Row],[day]])</f>
        <v>40576</v>
      </c>
      <c r="R705">
        <f>DAY(mergedcleandataset[[#This Row],[dteday]])</f>
        <v>2</v>
      </c>
      <c r="S705" t="str">
        <f>IF(mergedcleandataset[[#This Row],[weekday]]&gt;=5,"Yes","No")</f>
        <v>No</v>
      </c>
      <c r="T705" t="b">
        <f>ISBLANK(mergedcleandataset[[#This Row],[atemp]])</f>
        <v>0</v>
      </c>
      <c r="U705" t="str">
        <f t="shared" si="10"/>
        <v>Spring</v>
      </c>
      <c r="V705" t="str">
        <f>TEXT(mergedcleandataset[[#This Row],[date]],"dddd")</f>
        <v>Wednesday</v>
      </c>
      <c r="W70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06" spans="1:23" x14ac:dyDescent="0.25">
      <c r="A706">
        <v>714</v>
      </c>
      <c r="B706" s="1">
        <v>40576</v>
      </c>
      <c r="C706">
        <v>1</v>
      </c>
      <c r="D706" t="str">
        <f>TEXT(mergedcleandataset[[#This Row],[dteday]],"yyyy")</f>
        <v>2011</v>
      </c>
      <c r="E706">
        <v>2</v>
      </c>
      <c r="F706">
        <v>2</v>
      </c>
      <c r="G706" t="b">
        <v>0</v>
      </c>
      <c r="H706">
        <v>3</v>
      </c>
      <c r="I706">
        <v>3</v>
      </c>
      <c r="J706">
        <v>0.22</v>
      </c>
      <c r="K706">
        <v>0.2273</v>
      </c>
      <c r="L706">
        <v>0.93</v>
      </c>
      <c r="M706">
        <v>0.1343</v>
      </c>
      <c r="N706">
        <v>4</v>
      </c>
      <c r="O706">
        <v>0</v>
      </c>
      <c r="P706">
        <v>4</v>
      </c>
      <c r="Q706" s="2">
        <f>DATE(mergedcleandataset[[#This Row],[yr]],mergedcleandataset[[#This Row],[mnth]],mergedcleandataset[[#This Row],[day]])</f>
        <v>40576</v>
      </c>
      <c r="R706">
        <f>DAY(mergedcleandataset[[#This Row],[dteday]])</f>
        <v>2</v>
      </c>
      <c r="S706" t="str">
        <f>IF(mergedcleandataset[[#This Row],[weekday]]&gt;=5,"Yes","No")</f>
        <v>No</v>
      </c>
      <c r="T706" t="b">
        <f>ISBLANK(mergedcleandataset[[#This Row],[atemp]])</f>
        <v>0</v>
      </c>
      <c r="U706" t="str">
        <f t="shared" ref="U706:U769" si="11">IF(C706=1,"Spring",
IF(C706=2,"Summer",
IF(C706=3,"Fall",
IF(C706=4,"Winter","Unknown"))))</f>
        <v>Spring</v>
      </c>
      <c r="V706" t="str">
        <f>TEXT(mergedcleandataset[[#This Row],[date]],"dddd")</f>
        <v>Wednesday</v>
      </c>
      <c r="W70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07" spans="1:23" x14ac:dyDescent="0.25">
      <c r="A707">
        <v>715</v>
      </c>
      <c r="B707" s="1">
        <v>40576</v>
      </c>
      <c r="C707">
        <v>1</v>
      </c>
      <c r="D707" t="str">
        <f>TEXT(mergedcleandataset[[#This Row],[dteday]],"yyyy")</f>
        <v>2011</v>
      </c>
      <c r="E707">
        <v>2</v>
      </c>
      <c r="F707">
        <v>3</v>
      </c>
      <c r="G707" t="b">
        <v>0</v>
      </c>
      <c r="H707">
        <v>3</v>
      </c>
      <c r="I707">
        <v>3</v>
      </c>
      <c r="J707">
        <v>0.22</v>
      </c>
      <c r="K707">
        <v>0.2273</v>
      </c>
      <c r="L707">
        <v>0.93</v>
      </c>
      <c r="M707">
        <v>0.1343</v>
      </c>
      <c r="N707">
        <v>0</v>
      </c>
      <c r="O707">
        <v>1</v>
      </c>
      <c r="P707">
        <v>1</v>
      </c>
      <c r="Q707" s="2">
        <f>DATE(mergedcleandataset[[#This Row],[yr]],mergedcleandataset[[#This Row],[mnth]],mergedcleandataset[[#This Row],[day]])</f>
        <v>40576</v>
      </c>
      <c r="R707">
        <f>DAY(mergedcleandataset[[#This Row],[dteday]])</f>
        <v>2</v>
      </c>
      <c r="S707" t="str">
        <f>IF(mergedcleandataset[[#This Row],[weekday]]&gt;=5,"Yes","No")</f>
        <v>No</v>
      </c>
      <c r="T707" t="b">
        <f>ISBLANK(mergedcleandataset[[#This Row],[atemp]])</f>
        <v>0</v>
      </c>
      <c r="U707" t="str">
        <f t="shared" si="11"/>
        <v>Spring</v>
      </c>
      <c r="V707" t="str">
        <f>TEXT(mergedcleandataset[[#This Row],[date]],"dddd")</f>
        <v>Wednesday</v>
      </c>
      <c r="W70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08" spans="1:23" x14ac:dyDescent="0.25">
      <c r="A708">
        <v>716</v>
      </c>
      <c r="B708" s="1">
        <v>40576</v>
      </c>
      <c r="C708">
        <v>1</v>
      </c>
      <c r="D708" t="str">
        <f>TEXT(mergedcleandataset[[#This Row],[dteday]],"yyyy")</f>
        <v>2011</v>
      </c>
      <c r="E708">
        <v>2</v>
      </c>
      <c r="F708">
        <v>4</v>
      </c>
      <c r="G708" t="b">
        <v>0</v>
      </c>
      <c r="H708">
        <v>3</v>
      </c>
      <c r="I708">
        <v>3</v>
      </c>
      <c r="J708">
        <v>0.22</v>
      </c>
      <c r="K708">
        <v>0.21210000000000001</v>
      </c>
      <c r="L708">
        <v>0.93</v>
      </c>
      <c r="M708">
        <v>0.28360000000000002</v>
      </c>
      <c r="N708">
        <v>0</v>
      </c>
      <c r="O708">
        <v>1</v>
      </c>
      <c r="P708">
        <v>1</v>
      </c>
      <c r="Q708" s="2">
        <f>DATE(mergedcleandataset[[#This Row],[yr]],mergedcleandataset[[#This Row],[mnth]],mergedcleandataset[[#This Row],[day]])</f>
        <v>40576</v>
      </c>
      <c r="R708">
        <f>DAY(mergedcleandataset[[#This Row],[dteday]])</f>
        <v>2</v>
      </c>
      <c r="S708" t="str">
        <f>IF(mergedcleandataset[[#This Row],[weekday]]&gt;=5,"Yes","No")</f>
        <v>No</v>
      </c>
      <c r="T708" t="b">
        <f>ISBLANK(mergedcleandataset[[#This Row],[atemp]])</f>
        <v>0</v>
      </c>
      <c r="U708" t="str">
        <f t="shared" si="11"/>
        <v>Spring</v>
      </c>
      <c r="V708" t="str">
        <f>TEXT(mergedcleandataset[[#This Row],[date]],"dddd")</f>
        <v>Wednesday</v>
      </c>
      <c r="W70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09" spans="1:23" x14ac:dyDescent="0.25">
      <c r="A709">
        <v>717</v>
      </c>
      <c r="B709" s="1">
        <v>40576</v>
      </c>
      <c r="C709">
        <v>1</v>
      </c>
      <c r="D709" t="str">
        <f>TEXT(mergedcleandataset[[#This Row],[dteday]],"yyyy")</f>
        <v>2011</v>
      </c>
      <c r="E709">
        <v>2</v>
      </c>
      <c r="F709">
        <v>5</v>
      </c>
      <c r="G709" t="b">
        <v>0</v>
      </c>
      <c r="H709">
        <v>3</v>
      </c>
      <c r="I709">
        <v>3</v>
      </c>
      <c r="J709">
        <v>0.22</v>
      </c>
      <c r="K709">
        <v>0.2424</v>
      </c>
      <c r="L709">
        <v>0.93</v>
      </c>
      <c r="M709">
        <v>0.1045</v>
      </c>
      <c r="N709">
        <v>0</v>
      </c>
      <c r="O709">
        <v>3</v>
      </c>
      <c r="P709">
        <v>3</v>
      </c>
      <c r="Q709" s="2">
        <f>DATE(mergedcleandataset[[#This Row],[yr]],mergedcleandataset[[#This Row],[mnth]],mergedcleandataset[[#This Row],[day]])</f>
        <v>40576</v>
      </c>
      <c r="R709">
        <f>DAY(mergedcleandataset[[#This Row],[dteday]])</f>
        <v>2</v>
      </c>
      <c r="S709" t="str">
        <f>IF(mergedcleandataset[[#This Row],[weekday]]&gt;=5,"Yes","No")</f>
        <v>No</v>
      </c>
      <c r="T709" t="b">
        <f>ISBLANK(mergedcleandataset[[#This Row],[atemp]])</f>
        <v>0</v>
      </c>
      <c r="U709" t="str">
        <f t="shared" si="11"/>
        <v>Spring</v>
      </c>
      <c r="V709" t="str">
        <f>TEXT(mergedcleandataset[[#This Row],[date]],"dddd")</f>
        <v>Wednesday</v>
      </c>
      <c r="W70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10" spans="1:23" x14ac:dyDescent="0.25">
      <c r="A710">
        <v>718</v>
      </c>
      <c r="B710" s="1">
        <v>40576</v>
      </c>
      <c r="C710">
        <v>1</v>
      </c>
      <c r="D710" t="str">
        <f>TEXT(mergedcleandataset[[#This Row],[dteday]],"yyyy")</f>
        <v>2011</v>
      </c>
      <c r="E710">
        <v>2</v>
      </c>
      <c r="F710">
        <v>6</v>
      </c>
      <c r="G710" t="b">
        <v>0</v>
      </c>
      <c r="H710">
        <v>3</v>
      </c>
      <c r="I710">
        <v>3</v>
      </c>
      <c r="J710">
        <v>0.22</v>
      </c>
      <c r="K710">
        <v>0.2424</v>
      </c>
      <c r="L710">
        <v>0.93</v>
      </c>
      <c r="M710">
        <v>0.1045</v>
      </c>
      <c r="N710">
        <v>1</v>
      </c>
      <c r="O710">
        <v>17</v>
      </c>
      <c r="P710">
        <v>18</v>
      </c>
      <c r="Q710" s="2">
        <f>DATE(mergedcleandataset[[#This Row],[yr]],mergedcleandataset[[#This Row],[mnth]],mergedcleandataset[[#This Row],[day]])</f>
        <v>40576</v>
      </c>
      <c r="R710">
        <f>DAY(mergedcleandataset[[#This Row],[dteday]])</f>
        <v>2</v>
      </c>
      <c r="S710" t="str">
        <f>IF(mergedcleandataset[[#This Row],[weekday]]&gt;=5,"Yes","No")</f>
        <v>No</v>
      </c>
      <c r="T710" t="b">
        <f>ISBLANK(mergedcleandataset[[#This Row],[atemp]])</f>
        <v>0</v>
      </c>
      <c r="U710" t="str">
        <f t="shared" si="11"/>
        <v>Spring</v>
      </c>
      <c r="V710" t="str">
        <f>TEXT(mergedcleandataset[[#This Row],[date]],"dddd")</f>
        <v>Wednesday</v>
      </c>
      <c r="W71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11" spans="1:23" x14ac:dyDescent="0.25">
      <c r="A711">
        <v>719</v>
      </c>
      <c r="B711" s="1">
        <v>40576</v>
      </c>
      <c r="C711">
        <v>1</v>
      </c>
      <c r="D711" t="str">
        <f>TEXT(mergedcleandataset[[#This Row],[dteday]],"yyyy")</f>
        <v>2011</v>
      </c>
      <c r="E711">
        <v>2</v>
      </c>
      <c r="F711">
        <v>7</v>
      </c>
      <c r="G711" t="b">
        <v>0</v>
      </c>
      <c r="H711">
        <v>3</v>
      </c>
      <c r="I711">
        <v>3</v>
      </c>
      <c r="J711">
        <v>0.22</v>
      </c>
      <c r="K711">
        <v>0.21210000000000001</v>
      </c>
      <c r="L711">
        <v>0.93</v>
      </c>
      <c r="M711">
        <v>0.22389999999999999</v>
      </c>
      <c r="N711">
        <v>1</v>
      </c>
      <c r="O711">
        <v>48</v>
      </c>
      <c r="P711">
        <v>49</v>
      </c>
      <c r="Q711" s="2">
        <f>DATE(mergedcleandataset[[#This Row],[yr]],mergedcleandataset[[#This Row],[mnth]],mergedcleandataset[[#This Row],[day]])</f>
        <v>40576</v>
      </c>
      <c r="R711">
        <f>DAY(mergedcleandataset[[#This Row],[dteday]])</f>
        <v>2</v>
      </c>
      <c r="S711" t="str">
        <f>IF(mergedcleandataset[[#This Row],[weekday]]&gt;=5,"Yes","No")</f>
        <v>No</v>
      </c>
      <c r="T711" t="b">
        <f>ISBLANK(mergedcleandataset[[#This Row],[atemp]])</f>
        <v>0</v>
      </c>
      <c r="U711" t="str">
        <f t="shared" si="11"/>
        <v>Spring</v>
      </c>
      <c r="V711" t="str">
        <f>TEXT(mergedcleandataset[[#This Row],[date]],"dddd")</f>
        <v>Wednesday</v>
      </c>
      <c r="W71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12" spans="1:23" x14ac:dyDescent="0.25">
      <c r="A712">
        <v>720</v>
      </c>
      <c r="B712" s="1">
        <v>40576</v>
      </c>
      <c r="C712">
        <v>1</v>
      </c>
      <c r="D712" t="str">
        <f>TEXT(mergedcleandataset[[#This Row],[dteday]],"yyyy")</f>
        <v>2011</v>
      </c>
      <c r="E712">
        <v>2</v>
      </c>
      <c r="F712">
        <v>8</v>
      </c>
      <c r="G712" t="b">
        <v>0</v>
      </c>
      <c r="H712">
        <v>3</v>
      </c>
      <c r="I712">
        <v>3</v>
      </c>
      <c r="J712">
        <v>0.22</v>
      </c>
      <c r="K712">
        <v>0.21210000000000001</v>
      </c>
      <c r="L712">
        <v>0.93</v>
      </c>
      <c r="M712">
        <v>0.22389999999999999</v>
      </c>
      <c r="N712">
        <v>1</v>
      </c>
      <c r="O712">
        <v>154</v>
      </c>
      <c r="P712">
        <v>155</v>
      </c>
      <c r="Q712" s="2">
        <f>DATE(mergedcleandataset[[#This Row],[yr]],mergedcleandataset[[#This Row],[mnth]],mergedcleandataset[[#This Row],[day]])</f>
        <v>40576</v>
      </c>
      <c r="R712">
        <f>DAY(mergedcleandataset[[#This Row],[dteday]])</f>
        <v>2</v>
      </c>
      <c r="S712" t="str">
        <f>IF(mergedcleandataset[[#This Row],[weekday]]&gt;=5,"Yes","No")</f>
        <v>No</v>
      </c>
      <c r="T712" t="b">
        <f>ISBLANK(mergedcleandataset[[#This Row],[atemp]])</f>
        <v>0</v>
      </c>
      <c r="U712" t="str">
        <f t="shared" si="11"/>
        <v>Spring</v>
      </c>
      <c r="V712" t="str">
        <f>TEXT(mergedcleandataset[[#This Row],[date]],"dddd")</f>
        <v>Wednesday</v>
      </c>
      <c r="W71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13" spans="1:23" x14ac:dyDescent="0.25">
      <c r="A713">
        <v>721</v>
      </c>
      <c r="B713" s="1">
        <v>40576</v>
      </c>
      <c r="C713">
        <v>1</v>
      </c>
      <c r="D713" t="str">
        <f>TEXT(mergedcleandataset[[#This Row],[dteday]],"yyyy")</f>
        <v>2011</v>
      </c>
      <c r="E713">
        <v>2</v>
      </c>
      <c r="F713">
        <v>9</v>
      </c>
      <c r="G713" t="b">
        <v>0</v>
      </c>
      <c r="H713">
        <v>3</v>
      </c>
      <c r="I713">
        <v>2</v>
      </c>
      <c r="J713">
        <v>0.24</v>
      </c>
      <c r="K713">
        <v>0.2576</v>
      </c>
      <c r="L713">
        <v>0.93</v>
      </c>
      <c r="M713">
        <v>8.9599999999999999E-2</v>
      </c>
      <c r="N713">
        <v>4</v>
      </c>
      <c r="O713">
        <v>119</v>
      </c>
      <c r="P713">
        <v>123</v>
      </c>
      <c r="Q713" s="2">
        <f>DATE(mergedcleandataset[[#This Row],[yr]],mergedcleandataset[[#This Row],[mnth]],mergedcleandataset[[#This Row],[day]])</f>
        <v>40576</v>
      </c>
      <c r="R713">
        <f>DAY(mergedcleandataset[[#This Row],[dteday]])</f>
        <v>2</v>
      </c>
      <c r="S713" t="str">
        <f>IF(mergedcleandataset[[#This Row],[weekday]]&gt;=5,"Yes","No")</f>
        <v>No</v>
      </c>
      <c r="T713" t="b">
        <f>ISBLANK(mergedcleandataset[[#This Row],[atemp]])</f>
        <v>0</v>
      </c>
      <c r="U713" t="str">
        <f t="shared" si="11"/>
        <v>Spring</v>
      </c>
      <c r="V713" t="str">
        <f>TEXT(mergedcleandataset[[#This Row],[date]],"dddd")</f>
        <v>Wednesday</v>
      </c>
      <c r="W71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14" spans="1:23" x14ac:dyDescent="0.25">
      <c r="A714">
        <v>722</v>
      </c>
      <c r="B714" s="1">
        <v>40576</v>
      </c>
      <c r="C714">
        <v>1</v>
      </c>
      <c r="D714" t="str">
        <f>TEXT(mergedcleandataset[[#This Row],[dteday]],"yyyy")</f>
        <v>2011</v>
      </c>
      <c r="E714">
        <v>2</v>
      </c>
      <c r="F714">
        <v>10</v>
      </c>
      <c r="G714" t="b">
        <v>0</v>
      </c>
      <c r="H714">
        <v>3</v>
      </c>
      <c r="I714">
        <v>2</v>
      </c>
      <c r="J714">
        <v>0.22</v>
      </c>
      <c r="K714">
        <v>0.2727</v>
      </c>
      <c r="L714">
        <v>1</v>
      </c>
      <c r="M714">
        <v>0</v>
      </c>
      <c r="N714">
        <v>2</v>
      </c>
      <c r="O714">
        <v>59</v>
      </c>
      <c r="P714">
        <v>61</v>
      </c>
      <c r="Q714" s="2">
        <f>DATE(mergedcleandataset[[#This Row],[yr]],mergedcleandataset[[#This Row],[mnth]],mergedcleandataset[[#This Row],[day]])</f>
        <v>40576</v>
      </c>
      <c r="R714">
        <f>DAY(mergedcleandataset[[#This Row],[dteday]])</f>
        <v>2</v>
      </c>
      <c r="S714" t="str">
        <f>IF(mergedcleandataset[[#This Row],[weekday]]&gt;=5,"Yes","No")</f>
        <v>No</v>
      </c>
      <c r="T714" t="b">
        <f>ISBLANK(mergedcleandataset[[#This Row],[atemp]])</f>
        <v>0</v>
      </c>
      <c r="U714" t="str">
        <f t="shared" si="11"/>
        <v>Spring</v>
      </c>
      <c r="V714" t="str">
        <f>TEXT(mergedcleandataset[[#This Row],[date]],"dddd")</f>
        <v>Wednesday</v>
      </c>
      <c r="W71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15" spans="1:23" x14ac:dyDescent="0.25">
      <c r="A715">
        <v>723</v>
      </c>
      <c r="B715" s="1">
        <v>40576</v>
      </c>
      <c r="C715">
        <v>1</v>
      </c>
      <c r="D715" t="str">
        <f>TEXT(mergedcleandataset[[#This Row],[dteday]],"yyyy")</f>
        <v>2011</v>
      </c>
      <c r="E715">
        <v>2</v>
      </c>
      <c r="F715">
        <v>11</v>
      </c>
      <c r="G715" t="b">
        <v>0</v>
      </c>
      <c r="H715">
        <v>3</v>
      </c>
      <c r="I715">
        <v>2</v>
      </c>
      <c r="J715">
        <v>0.24</v>
      </c>
      <c r="K715">
        <v>0.2273</v>
      </c>
      <c r="L715">
        <v>0.93</v>
      </c>
      <c r="M715">
        <v>0.19400000000000001</v>
      </c>
      <c r="N715">
        <v>5</v>
      </c>
      <c r="O715">
        <v>47</v>
      </c>
      <c r="P715">
        <v>52</v>
      </c>
      <c r="Q715" s="2">
        <f>DATE(mergedcleandataset[[#This Row],[yr]],mergedcleandataset[[#This Row],[mnth]],mergedcleandataset[[#This Row],[day]])</f>
        <v>40576</v>
      </c>
      <c r="R715">
        <f>DAY(mergedcleandataset[[#This Row],[dteday]])</f>
        <v>2</v>
      </c>
      <c r="S715" t="str">
        <f>IF(mergedcleandataset[[#This Row],[weekday]]&gt;=5,"Yes","No")</f>
        <v>No</v>
      </c>
      <c r="T715" t="b">
        <f>ISBLANK(mergedcleandataset[[#This Row],[atemp]])</f>
        <v>0</v>
      </c>
      <c r="U715" t="str">
        <f t="shared" si="11"/>
        <v>Spring</v>
      </c>
      <c r="V715" t="str">
        <f>TEXT(mergedcleandataset[[#This Row],[date]],"dddd")</f>
        <v>Wednesday</v>
      </c>
      <c r="W71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16" spans="1:23" x14ac:dyDescent="0.25">
      <c r="A716">
        <v>724</v>
      </c>
      <c r="B716" s="1">
        <v>40576</v>
      </c>
      <c r="C716">
        <v>1</v>
      </c>
      <c r="D716" t="str">
        <f>TEXT(mergedcleandataset[[#This Row],[dteday]],"yyyy")</f>
        <v>2011</v>
      </c>
      <c r="E716">
        <v>2</v>
      </c>
      <c r="F716">
        <v>12</v>
      </c>
      <c r="G716" t="b">
        <v>0</v>
      </c>
      <c r="H716">
        <v>3</v>
      </c>
      <c r="I716">
        <v>2</v>
      </c>
      <c r="J716">
        <v>0.24</v>
      </c>
      <c r="K716">
        <v>0.2273</v>
      </c>
      <c r="L716">
        <v>0.93</v>
      </c>
      <c r="M716">
        <v>0.22389999999999999</v>
      </c>
      <c r="N716">
        <v>3</v>
      </c>
      <c r="O716">
        <v>61</v>
      </c>
      <c r="P716">
        <v>64</v>
      </c>
      <c r="Q716" s="2">
        <f>DATE(mergedcleandataset[[#This Row],[yr]],mergedcleandataset[[#This Row],[mnth]],mergedcleandataset[[#This Row],[day]])</f>
        <v>40576</v>
      </c>
      <c r="R716">
        <f>DAY(mergedcleandataset[[#This Row],[dteday]])</f>
        <v>2</v>
      </c>
      <c r="S716" t="str">
        <f>IF(mergedcleandataset[[#This Row],[weekday]]&gt;=5,"Yes","No")</f>
        <v>No</v>
      </c>
      <c r="T716" t="b">
        <f>ISBLANK(mergedcleandataset[[#This Row],[atemp]])</f>
        <v>0</v>
      </c>
      <c r="U716" t="str">
        <f t="shared" si="11"/>
        <v>Spring</v>
      </c>
      <c r="V716" t="str">
        <f>TEXT(mergedcleandataset[[#This Row],[date]],"dddd")</f>
        <v>Wednesday</v>
      </c>
      <c r="W71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17" spans="1:23" x14ac:dyDescent="0.25">
      <c r="A717">
        <v>725</v>
      </c>
      <c r="B717" s="1">
        <v>40576</v>
      </c>
      <c r="C717">
        <v>1</v>
      </c>
      <c r="D717" t="str">
        <f>TEXT(mergedcleandataset[[#This Row],[dteday]],"yyyy")</f>
        <v>2011</v>
      </c>
      <c r="E717">
        <v>2</v>
      </c>
      <c r="F717">
        <v>13</v>
      </c>
      <c r="G717" t="b">
        <v>0</v>
      </c>
      <c r="H717">
        <v>3</v>
      </c>
      <c r="I717">
        <v>1</v>
      </c>
      <c r="J717">
        <v>0.34</v>
      </c>
      <c r="K717">
        <v>0.33329999999999999</v>
      </c>
      <c r="L717">
        <v>0.93</v>
      </c>
      <c r="M717">
        <v>0.16420000000000001</v>
      </c>
      <c r="N717">
        <v>1</v>
      </c>
      <c r="O717">
        <v>74</v>
      </c>
      <c r="P717">
        <v>75</v>
      </c>
      <c r="Q717" s="2">
        <f>DATE(mergedcleandataset[[#This Row],[yr]],mergedcleandataset[[#This Row],[mnth]],mergedcleandataset[[#This Row],[day]])</f>
        <v>40576</v>
      </c>
      <c r="R717">
        <f>DAY(mergedcleandataset[[#This Row],[dteday]])</f>
        <v>2</v>
      </c>
      <c r="S717" t="str">
        <f>IF(mergedcleandataset[[#This Row],[weekday]]&gt;=5,"Yes","No")</f>
        <v>No</v>
      </c>
      <c r="T717" t="b">
        <f>ISBLANK(mergedcleandataset[[#This Row],[atemp]])</f>
        <v>0</v>
      </c>
      <c r="U717" t="str">
        <f t="shared" si="11"/>
        <v>Spring</v>
      </c>
      <c r="V717" t="str">
        <f>TEXT(mergedcleandataset[[#This Row],[date]],"dddd")</f>
        <v>Wednesday</v>
      </c>
      <c r="W7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18" spans="1:23" x14ac:dyDescent="0.25">
      <c r="A718">
        <v>726</v>
      </c>
      <c r="B718" s="1">
        <v>40576</v>
      </c>
      <c r="C718">
        <v>1</v>
      </c>
      <c r="D718" t="str">
        <f>TEXT(mergedcleandataset[[#This Row],[dteday]],"yyyy")</f>
        <v>2011</v>
      </c>
      <c r="E718">
        <v>2</v>
      </c>
      <c r="F718">
        <v>14</v>
      </c>
      <c r="G718" t="b">
        <v>0</v>
      </c>
      <c r="H718">
        <v>3</v>
      </c>
      <c r="I718">
        <v>1</v>
      </c>
      <c r="J718">
        <v>0.38</v>
      </c>
      <c r="K718">
        <v>0.39389999999999997</v>
      </c>
      <c r="L718">
        <v>0.82</v>
      </c>
      <c r="M718">
        <v>0.3881</v>
      </c>
      <c r="N718">
        <v>2</v>
      </c>
      <c r="O718">
        <v>61</v>
      </c>
      <c r="P718">
        <v>63</v>
      </c>
      <c r="Q718" s="2">
        <f>DATE(mergedcleandataset[[#This Row],[yr]],mergedcleandataset[[#This Row],[mnth]],mergedcleandataset[[#This Row],[day]])</f>
        <v>40576</v>
      </c>
      <c r="R718">
        <f>DAY(mergedcleandataset[[#This Row],[dteday]])</f>
        <v>2</v>
      </c>
      <c r="S718" t="str">
        <f>IF(mergedcleandataset[[#This Row],[weekday]]&gt;=5,"Yes","No")</f>
        <v>No</v>
      </c>
      <c r="T718" t="b">
        <f>ISBLANK(mergedcleandataset[[#This Row],[atemp]])</f>
        <v>0</v>
      </c>
      <c r="U718" t="str">
        <f t="shared" si="11"/>
        <v>Spring</v>
      </c>
      <c r="V718" t="str">
        <f>TEXT(mergedcleandataset[[#This Row],[date]],"dddd")</f>
        <v>Wednesday</v>
      </c>
      <c r="W7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19" spans="1:23" x14ac:dyDescent="0.25">
      <c r="A719">
        <v>727</v>
      </c>
      <c r="B719" s="1">
        <v>40576</v>
      </c>
      <c r="C719">
        <v>1</v>
      </c>
      <c r="D719" t="str">
        <f>TEXT(mergedcleandataset[[#This Row],[dteday]],"yyyy")</f>
        <v>2011</v>
      </c>
      <c r="E719">
        <v>2</v>
      </c>
      <c r="F719">
        <v>15</v>
      </c>
      <c r="G719" t="b">
        <v>0</v>
      </c>
      <c r="H719">
        <v>3</v>
      </c>
      <c r="I719">
        <v>1</v>
      </c>
      <c r="J719">
        <v>0.38</v>
      </c>
      <c r="K719">
        <v>0.39389999999999997</v>
      </c>
      <c r="L719">
        <v>0.76</v>
      </c>
      <c r="M719">
        <v>0.32840000000000003</v>
      </c>
      <c r="N719">
        <v>10</v>
      </c>
      <c r="O719">
        <v>66</v>
      </c>
      <c r="P719">
        <v>76</v>
      </c>
      <c r="Q719" s="2">
        <f>DATE(mergedcleandataset[[#This Row],[yr]],mergedcleandataset[[#This Row],[mnth]],mergedcleandataset[[#This Row],[day]])</f>
        <v>40576</v>
      </c>
      <c r="R719">
        <f>DAY(mergedcleandataset[[#This Row],[dteday]])</f>
        <v>2</v>
      </c>
      <c r="S719" t="str">
        <f>IF(mergedcleandataset[[#This Row],[weekday]]&gt;=5,"Yes","No")</f>
        <v>No</v>
      </c>
      <c r="T719" t="b">
        <f>ISBLANK(mergedcleandataset[[#This Row],[atemp]])</f>
        <v>0</v>
      </c>
      <c r="U719" t="str">
        <f t="shared" si="11"/>
        <v>Spring</v>
      </c>
      <c r="V719" t="str">
        <f>TEXT(mergedcleandataset[[#This Row],[date]],"dddd")</f>
        <v>Wednesday</v>
      </c>
      <c r="W7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0" spans="1:23" x14ac:dyDescent="0.25">
      <c r="A720">
        <v>728</v>
      </c>
      <c r="B720" s="1">
        <v>40576</v>
      </c>
      <c r="C720">
        <v>1</v>
      </c>
      <c r="D720" t="str">
        <f>TEXT(mergedcleandataset[[#This Row],[dteday]],"yyyy")</f>
        <v>2011</v>
      </c>
      <c r="E720">
        <v>2</v>
      </c>
      <c r="F720">
        <v>16</v>
      </c>
      <c r="G720" t="b">
        <v>0</v>
      </c>
      <c r="H720">
        <v>3</v>
      </c>
      <c r="I720">
        <v>1</v>
      </c>
      <c r="J720">
        <v>0.36</v>
      </c>
      <c r="K720">
        <v>0.33329999999999999</v>
      </c>
      <c r="L720">
        <v>0.71</v>
      </c>
      <c r="M720">
        <v>0.29849999999999999</v>
      </c>
      <c r="N720">
        <v>8</v>
      </c>
      <c r="O720">
        <v>95</v>
      </c>
      <c r="P720">
        <v>103</v>
      </c>
      <c r="Q720" s="2">
        <f>DATE(mergedcleandataset[[#This Row],[yr]],mergedcleandataset[[#This Row],[mnth]],mergedcleandataset[[#This Row],[day]])</f>
        <v>40576</v>
      </c>
      <c r="R720">
        <f>DAY(mergedcleandataset[[#This Row],[dteday]])</f>
        <v>2</v>
      </c>
      <c r="S720" t="str">
        <f>IF(mergedcleandataset[[#This Row],[weekday]]&gt;=5,"Yes","No")</f>
        <v>No</v>
      </c>
      <c r="T720" t="b">
        <f>ISBLANK(mergedcleandataset[[#This Row],[atemp]])</f>
        <v>0</v>
      </c>
      <c r="U720" t="str">
        <f t="shared" si="11"/>
        <v>Spring</v>
      </c>
      <c r="V720" t="str">
        <f>TEXT(mergedcleandataset[[#This Row],[date]],"dddd")</f>
        <v>Wednesday</v>
      </c>
      <c r="W72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1" spans="1:23" x14ac:dyDescent="0.25">
      <c r="A721">
        <v>729</v>
      </c>
      <c r="B721" s="1">
        <v>40576</v>
      </c>
      <c r="C721">
        <v>1</v>
      </c>
      <c r="D721" t="str">
        <f>TEXT(mergedcleandataset[[#This Row],[dteday]],"yyyy")</f>
        <v>2011</v>
      </c>
      <c r="E721">
        <v>2</v>
      </c>
      <c r="F721">
        <v>17</v>
      </c>
      <c r="G721" t="b">
        <v>0</v>
      </c>
      <c r="H721">
        <v>3</v>
      </c>
      <c r="I721">
        <v>1</v>
      </c>
      <c r="J721">
        <v>0.36</v>
      </c>
      <c r="K721">
        <v>0.31819999999999998</v>
      </c>
      <c r="L721">
        <v>0.53</v>
      </c>
      <c r="M721">
        <v>0.52239999999999998</v>
      </c>
      <c r="N721">
        <v>7</v>
      </c>
      <c r="O721">
        <v>183</v>
      </c>
      <c r="P721">
        <v>190</v>
      </c>
      <c r="Q721" s="2">
        <f>DATE(mergedcleandataset[[#This Row],[yr]],mergedcleandataset[[#This Row],[mnth]],mergedcleandataset[[#This Row],[day]])</f>
        <v>40576</v>
      </c>
      <c r="R721">
        <f>DAY(mergedcleandataset[[#This Row],[dteday]])</f>
        <v>2</v>
      </c>
      <c r="S721" t="str">
        <f>IF(mergedcleandataset[[#This Row],[weekday]]&gt;=5,"Yes","No")</f>
        <v>No</v>
      </c>
      <c r="T721" t="b">
        <f>ISBLANK(mergedcleandataset[[#This Row],[atemp]])</f>
        <v>0</v>
      </c>
      <c r="U721" t="str">
        <f t="shared" si="11"/>
        <v>Spring</v>
      </c>
      <c r="V721" t="str">
        <f>TEXT(mergedcleandataset[[#This Row],[date]],"dddd")</f>
        <v>Wednesday</v>
      </c>
      <c r="W72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2" spans="1:23" x14ac:dyDescent="0.25">
      <c r="A722">
        <v>730</v>
      </c>
      <c r="B722" s="1">
        <v>40576</v>
      </c>
      <c r="C722">
        <v>1</v>
      </c>
      <c r="D722" t="str">
        <f>TEXT(mergedcleandataset[[#This Row],[dteday]],"yyyy")</f>
        <v>2011</v>
      </c>
      <c r="E722">
        <v>2</v>
      </c>
      <c r="F722">
        <v>18</v>
      </c>
      <c r="G722" t="b">
        <v>0</v>
      </c>
      <c r="H722">
        <v>3</v>
      </c>
      <c r="I722">
        <v>1</v>
      </c>
      <c r="J722">
        <v>0.34</v>
      </c>
      <c r="K722">
        <v>0.28789999999999999</v>
      </c>
      <c r="L722">
        <v>0.42</v>
      </c>
      <c r="M722">
        <v>0.55220000000000002</v>
      </c>
      <c r="N722">
        <v>7</v>
      </c>
      <c r="O722">
        <v>175</v>
      </c>
      <c r="P722">
        <v>182</v>
      </c>
      <c r="Q722" s="2">
        <f>DATE(mergedcleandataset[[#This Row],[yr]],mergedcleandataset[[#This Row],[mnth]],mergedcleandataset[[#This Row],[day]])</f>
        <v>40576</v>
      </c>
      <c r="R722">
        <f>DAY(mergedcleandataset[[#This Row],[dteday]])</f>
        <v>2</v>
      </c>
      <c r="S722" t="str">
        <f>IF(mergedcleandataset[[#This Row],[weekday]]&gt;=5,"Yes","No")</f>
        <v>No</v>
      </c>
      <c r="T722" t="b">
        <f>ISBLANK(mergedcleandataset[[#This Row],[atemp]])</f>
        <v>0</v>
      </c>
      <c r="U722" t="str">
        <f t="shared" si="11"/>
        <v>Spring</v>
      </c>
      <c r="V722" t="str">
        <f>TEXT(mergedcleandataset[[#This Row],[date]],"dddd")</f>
        <v>Wednesday</v>
      </c>
      <c r="W72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3" spans="1:23" x14ac:dyDescent="0.25">
      <c r="A723">
        <v>731</v>
      </c>
      <c r="B723" s="1">
        <v>40576</v>
      </c>
      <c r="C723">
        <v>1</v>
      </c>
      <c r="D723" t="str">
        <f>TEXT(mergedcleandataset[[#This Row],[dteday]],"yyyy")</f>
        <v>2011</v>
      </c>
      <c r="E723">
        <v>2</v>
      </c>
      <c r="F723">
        <v>19</v>
      </c>
      <c r="G723" t="b">
        <v>0</v>
      </c>
      <c r="H723">
        <v>3</v>
      </c>
      <c r="I723">
        <v>1</v>
      </c>
      <c r="J723">
        <v>0.28000000000000003</v>
      </c>
      <c r="K723">
        <v>0.2424</v>
      </c>
      <c r="L723">
        <v>0.45</v>
      </c>
      <c r="M723">
        <v>0.49249999999999999</v>
      </c>
      <c r="N723">
        <v>3</v>
      </c>
      <c r="O723">
        <v>88</v>
      </c>
      <c r="P723">
        <v>91</v>
      </c>
      <c r="Q723" s="2">
        <f>DATE(mergedcleandataset[[#This Row],[yr]],mergedcleandataset[[#This Row],[mnth]],mergedcleandataset[[#This Row],[day]])</f>
        <v>40576</v>
      </c>
      <c r="R723">
        <f>DAY(mergedcleandataset[[#This Row],[dteday]])</f>
        <v>2</v>
      </c>
      <c r="S723" t="str">
        <f>IF(mergedcleandataset[[#This Row],[weekday]]&gt;=5,"Yes","No")</f>
        <v>No</v>
      </c>
      <c r="T723" t="b">
        <f>ISBLANK(mergedcleandataset[[#This Row],[atemp]])</f>
        <v>0</v>
      </c>
      <c r="U723" t="str">
        <f t="shared" si="11"/>
        <v>Spring</v>
      </c>
      <c r="V723" t="str">
        <f>TEXT(mergedcleandataset[[#This Row],[date]],"dddd")</f>
        <v>Wednesday</v>
      </c>
      <c r="W72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4" spans="1:23" x14ac:dyDescent="0.25">
      <c r="A724">
        <v>732</v>
      </c>
      <c r="B724" s="1">
        <v>40576</v>
      </c>
      <c r="C724">
        <v>1</v>
      </c>
      <c r="D724" t="str">
        <f>TEXT(mergedcleandataset[[#This Row],[dteday]],"yyyy")</f>
        <v>2011</v>
      </c>
      <c r="E724">
        <v>2</v>
      </c>
      <c r="F724">
        <v>20</v>
      </c>
      <c r="G724" t="b">
        <v>0</v>
      </c>
      <c r="H724">
        <v>3</v>
      </c>
      <c r="I724">
        <v>1</v>
      </c>
      <c r="J724">
        <v>0.24</v>
      </c>
      <c r="K724">
        <v>0.19700000000000001</v>
      </c>
      <c r="L724">
        <v>0.48</v>
      </c>
      <c r="M724">
        <v>0.55220000000000002</v>
      </c>
      <c r="N724">
        <v>4</v>
      </c>
      <c r="O724">
        <v>71</v>
      </c>
      <c r="P724">
        <v>75</v>
      </c>
      <c r="Q724" s="2">
        <f>DATE(mergedcleandataset[[#This Row],[yr]],mergedcleandataset[[#This Row],[mnth]],mergedcleandataset[[#This Row],[day]])</f>
        <v>40576</v>
      </c>
      <c r="R724">
        <f>DAY(mergedcleandataset[[#This Row],[dteday]])</f>
        <v>2</v>
      </c>
      <c r="S724" t="str">
        <f>IF(mergedcleandataset[[#This Row],[weekday]]&gt;=5,"Yes","No")</f>
        <v>No</v>
      </c>
      <c r="T724" t="b">
        <f>ISBLANK(mergedcleandataset[[#This Row],[atemp]])</f>
        <v>0</v>
      </c>
      <c r="U724" t="str">
        <f t="shared" si="11"/>
        <v>Spring</v>
      </c>
      <c r="V724" t="str">
        <f>TEXT(mergedcleandataset[[#This Row],[date]],"dddd")</f>
        <v>Wednesday</v>
      </c>
      <c r="W72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5" spans="1:23" x14ac:dyDescent="0.25">
      <c r="A725">
        <v>733</v>
      </c>
      <c r="B725" s="1">
        <v>40576</v>
      </c>
      <c r="C725">
        <v>1</v>
      </c>
      <c r="D725" t="str">
        <f>TEXT(mergedcleandataset[[#This Row],[dteday]],"yyyy")</f>
        <v>2011</v>
      </c>
      <c r="E725">
        <v>2</v>
      </c>
      <c r="F725">
        <v>21</v>
      </c>
      <c r="G725" t="b">
        <v>0</v>
      </c>
      <c r="H725">
        <v>3</v>
      </c>
      <c r="I725">
        <v>1</v>
      </c>
      <c r="J725">
        <v>0.22</v>
      </c>
      <c r="K725">
        <v>0.19700000000000001</v>
      </c>
      <c r="L725">
        <v>0.47</v>
      </c>
      <c r="M725">
        <v>0.32840000000000003</v>
      </c>
      <c r="N725">
        <v>1</v>
      </c>
      <c r="O725">
        <v>62</v>
      </c>
      <c r="P725">
        <v>63</v>
      </c>
      <c r="Q725" s="2">
        <f>DATE(mergedcleandataset[[#This Row],[yr]],mergedcleandataset[[#This Row],[mnth]],mergedcleandataset[[#This Row],[day]])</f>
        <v>40576</v>
      </c>
      <c r="R725">
        <f>DAY(mergedcleandataset[[#This Row],[dteday]])</f>
        <v>2</v>
      </c>
      <c r="S725" t="str">
        <f>IF(mergedcleandataset[[#This Row],[weekday]]&gt;=5,"Yes","No")</f>
        <v>No</v>
      </c>
      <c r="T725" t="b">
        <f>ISBLANK(mergedcleandataset[[#This Row],[atemp]])</f>
        <v>0</v>
      </c>
      <c r="U725" t="str">
        <f t="shared" si="11"/>
        <v>Spring</v>
      </c>
      <c r="V725" t="str">
        <f>TEXT(mergedcleandataset[[#This Row],[date]],"dddd")</f>
        <v>Wednesday</v>
      </c>
      <c r="W72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6" spans="1:23" x14ac:dyDescent="0.25">
      <c r="A726">
        <v>734</v>
      </c>
      <c r="B726" s="1">
        <v>40576</v>
      </c>
      <c r="C726">
        <v>1</v>
      </c>
      <c r="D726" t="str">
        <f>TEXT(mergedcleandataset[[#This Row],[dteday]],"yyyy")</f>
        <v>2011</v>
      </c>
      <c r="E726">
        <v>2</v>
      </c>
      <c r="F726">
        <v>22</v>
      </c>
      <c r="G726" t="b">
        <v>0</v>
      </c>
      <c r="H726">
        <v>3</v>
      </c>
      <c r="I726">
        <v>1</v>
      </c>
      <c r="J726">
        <v>0.22</v>
      </c>
      <c r="K726">
        <v>0.21210000000000001</v>
      </c>
      <c r="L726">
        <v>0.44</v>
      </c>
      <c r="M726">
        <v>0.25369999999999998</v>
      </c>
      <c r="N726">
        <v>5</v>
      </c>
      <c r="O726">
        <v>35</v>
      </c>
      <c r="P726">
        <v>40</v>
      </c>
      <c r="Q726" s="2">
        <f>DATE(mergedcleandataset[[#This Row],[yr]],mergedcleandataset[[#This Row],[mnth]],mergedcleandataset[[#This Row],[day]])</f>
        <v>40576</v>
      </c>
      <c r="R726">
        <f>DAY(mergedcleandataset[[#This Row],[dteday]])</f>
        <v>2</v>
      </c>
      <c r="S726" t="str">
        <f>IF(mergedcleandataset[[#This Row],[weekday]]&gt;=5,"Yes","No")</f>
        <v>No</v>
      </c>
      <c r="T726" t="b">
        <f>ISBLANK(mergedcleandataset[[#This Row],[atemp]])</f>
        <v>0</v>
      </c>
      <c r="U726" t="str">
        <f t="shared" si="11"/>
        <v>Spring</v>
      </c>
      <c r="V726" t="str">
        <f>TEXT(mergedcleandataset[[#This Row],[date]],"dddd")</f>
        <v>Wednesday</v>
      </c>
      <c r="W7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7" spans="1:23" x14ac:dyDescent="0.25">
      <c r="A727">
        <v>735</v>
      </c>
      <c r="B727" s="1">
        <v>40576</v>
      </c>
      <c r="C727">
        <v>1</v>
      </c>
      <c r="D727" t="str">
        <f>TEXT(mergedcleandataset[[#This Row],[dteday]],"yyyy")</f>
        <v>2011</v>
      </c>
      <c r="E727">
        <v>2</v>
      </c>
      <c r="F727">
        <v>23</v>
      </c>
      <c r="G727" t="b">
        <v>0</v>
      </c>
      <c r="H727">
        <v>3</v>
      </c>
      <c r="I727">
        <v>1</v>
      </c>
      <c r="J727">
        <v>0.2</v>
      </c>
      <c r="K727">
        <v>0.16669999999999999</v>
      </c>
      <c r="L727">
        <v>0.44</v>
      </c>
      <c r="M727">
        <v>0.44779999999999998</v>
      </c>
      <c r="N727">
        <v>3</v>
      </c>
      <c r="O727">
        <v>29</v>
      </c>
      <c r="P727">
        <v>32</v>
      </c>
      <c r="Q727" s="2">
        <f>DATE(mergedcleandataset[[#This Row],[yr]],mergedcleandataset[[#This Row],[mnth]],mergedcleandataset[[#This Row],[day]])</f>
        <v>40576</v>
      </c>
      <c r="R727">
        <f>DAY(mergedcleandataset[[#This Row],[dteday]])</f>
        <v>2</v>
      </c>
      <c r="S727" t="str">
        <f>IF(mergedcleandataset[[#This Row],[weekday]]&gt;=5,"Yes","No")</f>
        <v>No</v>
      </c>
      <c r="T727" t="b">
        <f>ISBLANK(mergedcleandataset[[#This Row],[atemp]])</f>
        <v>0</v>
      </c>
      <c r="U727" t="str">
        <f t="shared" si="11"/>
        <v>Spring</v>
      </c>
      <c r="V727" t="str">
        <f>TEXT(mergedcleandataset[[#This Row],[date]],"dddd")</f>
        <v>Wednesday</v>
      </c>
      <c r="W7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8" spans="1:23" x14ac:dyDescent="0.25">
      <c r="A728">
        <v>736</v>
      </c>
      <c r="B728" s="1">
        <v>40577</v>
      </c>
      <c r="C728">
        <v>1</v>
      </c>
      <c r="D728" t="str">
        <f>TEXT(mergedcleandataset[[#This Row],[dteday]],"yyyy")</f>
        <v>2011</v>
      </c>
      <c r="E728">
        <v>2</v>
      </c>
      <c r="F728">
        <v>0</v>
      </c>
      <c r="G728" t="b">
        <v>0</v>
      </c>
      <c r="H728">
        <v>4</v>
      </c>
      <c r="I728">
        <v>1</v>
      </c>
      <c r="J728">
        <v>0.2</v>
      </c>
      <c r="K728">
        <v>0.16669999999999999</v>
      </c>
      <c r="L728">
        <v>0.4</v>
      </c>
      <c r="M728">
        <v>0.44779999999999998</v>
      </c>
      <c r="N728">
        <v>1</v>
      </c>
      <c r="O728">
        <v>11</v>
      </c>
      <c r="P728">
        <v>12</v>
      </c>
      <c r="Q728" s="2">
        <f>DATE(mergedcleandataset[[#This Row],[yr]],mergedcleandataset[[#This Row],[mnth]],mergedcleandataset[[#This Row],[day]])</f>
        <v>40577</v>
      </c>
      <c r="R728">
        <f>DAY(mergedcleandataset[[#This Row],[dteday]])</f>
        <v>3</v>
      </c>
      <c r="S728" t="str">
        <f>IF(mergedcleandataset[[#This Row],[weekday]]&gt;=5,"Yes","No")</f>
        <v>No</v>
      </c>
      <c r="T728" t="b">
        <f>ISBLANK(mergedcleandataset[[#This Row],[atemp]])</f>
        <v>0</v>
      </c>
      <c r="U728" t="str">
        <f t="shared" si="11"/>
        <v>Spring</v>
      </c>
      <c r="V728" t="str">
        <f>TEXT(mergedcleandataset[[#This Row],[date]],"dddd")</f>
        <v>Thursday</v>
      </c>
      <c r="W7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29" spans="1:23" x14ac:dyDescent="0.25">
      <c r="A729">
        <v>737</v>
      </c>
      <c r="B729" s="1">
        <v>40577</v>
      </c>
      <c r="C729">
        <v>1</v>
      </c>
      <c r="D729" t="str">
        <f>TEXT(mergedcleandataset[[#This Row],[dteday]],"yyyy")</f>
        <v>2011</v>
      </c>
      <c r="E729">
        <v>2</v>
      </c>
      <c r="F729">
        <v>1</v>
      </c>
      <c r="G729" t="b">
        <v>0</v>
      </c>
      <c r="H729">
        <v>4</v>
      </c>
      <c r="I729">
        <v>1</v>
      </c>
      <c r="J729">
        <v>0.2</v>
      </c>
      <c r="K729">
        <v>0.1515</v>
      </c>
      <c r="L729">
        <v>0.44</v>
      </c>
      <c r="M729">
        <v>0.52239999999999998</v>
      </c>
      <c r="N729">
        <v>0</v>
      </c>
      <c r="O729">
        <v>5</v>
      </c>
      <c r="P729">
        <v>5</v>
      </c>
      <c r="Q729" s="2">
        <f>DATE(mergedcleandataset[[#This Row],[yr]],mergedcleandataset[[#This Row],[mnth]],mergedcleandataset[[#This Row],[day]])</f>
        <v>40577</v>
      </c>
      <c r="R729">
        <f>DAY(mergedcleandataset[[#This Row],[dteday]])</f>
        <v>3</v>
      </c>
      <c r="S729" t="str">
        <f>IF(mergedcleandataset[[#This Row],[weekday]]&gt;=5,"Yes","No")</f>
        <v>No</v>
      </c>
      <c r="T729" t="b">
        <f>ISBLANK(mergedcleandataset[[#This Row],[atemp]])</f>
        <v>0</v>
      </c>
      <c r="U729" t="str">
        <f t="shared" si="11"/>
        <v>Spring</v>
      </c>
      <c r="V729" t="str">
        <f>TEXT(mergedcleandataset[[#This Row],[date]],"dddd")</f>
        <v>Thursday</v>
      </c>
      <c r="W7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0" spans="1:23" x14ac:dyDescent="0.25">
      <c r="A730">
        <v>738</v>
      </c>
      <c r="B730" s="1">
        <v>40577</v>
      </c>
      <c r="C730">
        <v>1</v>
      </c>
      <c r="D730" t="str">
        <f>TEXT(mergedcleandataset[[#This Row],[dteday]],"yyyy")</f>
        <v>2011</v>
      </c>
      <c r="E730">
        <v>2</v>
      </c>
      <c r="F730">
        <v>2</v>
      </c>
      <c r="G730" t="b">
        <v>0</v>
      </c>
      <c r="H730">
        <v>4</v>
      </c>
      <c r="I730">
        <v>1</v>
      </c>
      <c r="J730">
        <v>0.18</v>
      </c>
      <c r="K730">
        <v>0.16669999999999999</v>
      </c>
      <c r="L730">
        <v>0.43</v>
      </c>
      <c r="M730">
        <v>0.25369999999999998</v>
      </c>
      <c r="N730">
        <v>0</v>
      </c>
      <c r="O730">
        <v>2</v>
      </c>
      <c r="P730">
        <v>2</v>
      </c>
      <c r="Q730" s="2">
        <f>DATE(mergedcleandataset[[#This Row],[yr]],mergedcleandataset[[#This Row],[mnth]],mergedcleandataset[[#This Row],[day]])</f>
        <v>40577</v>
      </c>
      <c r="R730">
        <f>DAY(mergedcleandataset[[#This Row],[dteday]])</f>
        <v>3</v>
      </c>
      <c r="S730" t="str">
        <f>IF(mergedcleandataset[[#This Row],[weekday]]&gt;=5,"Yes","No")</f>
        <v>No</v>
      </c>
      <c r="T730" t="b">
        <f>ISBLANK(mergedcleandataset[[#This Row],[atemp]])</f>
        <v>0</v>
      </c>
      <c r="U730" t="str">
        <f t="shared" si="11"/>
        <v>Spring</v>
      </c>
      <c r="V730" t="str">
        <f>TEXT(mergedcleandataset[[#This Row],[date]],"dddd")</f>
        <v>Thursday</v>
      </c>
      <c r="W7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1" spans="1:23" x14ac:dyDescent="0.25">
      <c r="A731">
        <v>739</v>
      </c>
      <c r="B731" s="1">
        <v>40577</v>
      </c>
      <c r="C731">
        <v>1</v>
      </c>
      <c r="D731" t="str">
        <f>TEXT(mergedcleandataset[[#This Row],[dteday]],"yyyy")</f>
        <v>2011</v>
      </c>
      <c r="E731">
        <v>2</v>
      </c>
      <c r="F731">
        <v>3</v>
      </c>
      <c r="G731" t="b">
        <v>0</v>
      </c>
      <c r="H731">
        <v>4</v>
      </c>
      <c r="I731">
        <v>1</v>
      </c>
      <c r="J731">
        <v>0.18</v>
      </c>
      <c r="K731">
        <v>0.16669999999999999</v>
      </c>
      <c r="L731">
        <v>0.43</v>
      </c>
      <c r="M731">
        <v>0.25369999999999998</v>
      </c>
      <c r="N731">
        <v>0</v>
      </c>
      <c r="O731">
        <v>1</v>
      </c>
      <c r="P731">
        <v>1</v>
      </c>
      <c r="Q731" s="2">
        <f>DATE(mergedcleandataset[[#This Row],[yr]],mergedcleandataset[[#This Row],[mnth]],mergedcleandataset[[#This Row],[day]])</f>
        <v>40577</v>
      </c>
      <c r="R731">
        <f>DAY(mergedcleandataset[[#This Row],[dteday]])</f>
        <v>3</v>
      </c>
      <c r="S731" t="str">
        <f>IF(mergedcleandataset[[#This Row],[weekday]]&gt;=5,"Yes","No")</f>
        <v>No</v>
      </c>
      <c r="T731" t="b">
        <f>ISBLANK(mergedcleandataset[[#This Row],[atemp]])</f>
        <v>0</v>
      </c>
      <c r="U731" t="str">
        <f t="shared" si="11"/>
        <v>Spring</v>
      </c>
      <c r="V731" t="str">
        <f>TEXT(mergedcleandataset[[#This Row],[date]],"dddd")</f>
        <v>Thursday</v>
      </c>
      <c r="W7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2" spans="1:23" x14ac:dyDescent="0.25">
      <c r="A732">
        <v>740</v>
      </c>
      <c r="B732" s="1">
        <v>40577</v>
      </c>
      <c r="C732">
        <v>1</v>
      </c>
      <c r="D732" t="str">
        <f>TEXT(mergedcleandataset[[#This Row],[dteday]],"yyyy")</f>
        <v>2011</v>
      </c>
      <c r="E732">
        <v>2</v>
      </c>
      <c r="F732">
        <v>5</v>
      </c>
      <c r="G732" t="b">
        <v>0</v>
      </c>
      <c r="H732">
        <v>4</v>
      </c>
      <c r="I732">
        <v>1</v>
      </c>
      <c r="J732">
        <v>0.16</v>
      </c>
      <c r="K732">
        <v>0.13639999999999999</v>
      </c>
      <c r="L732">
        <v>0.5</v>
      </c>
      <c r="M732">
        <v>0.29849999999999999</v>
      </c>
      <c r="N732">
        <v>0</v>
      </c>
      <c r="O732">
        <v>2</v>
      </c>
      <c r="P732">
        <v>2</v>
      </c>
      <c r="Q732" s="2">
        <f>DATE(mergedcleandataset[[#This Row],[yr]],mergedcleandataset[[#This Row],[mnth]],mergedcleandataset[[#This Row],[day]])</f>
        <v>40577</v>
      </c>
      <c r="R732">
        <f>DAY(mergedcleandataset[[#This Row],[dteday]])</f>
        <v>3</v>
      </c>
      <c r="S732" t="str">
        <f>IF(mergedcleandataset[[#This Row],[weekday]]&gt;=5,"Yes","No")</f>
        <v>No</v>
      </c>
      <c r="T732" t="b">
        <f>ISBLANK(mergedcleandataset[[#This Row],[atemp]])</f>
        <v>0</v>
      </c>
      <c r="U732" t="str">
        <f t="shared" si="11"/>
        <v>Spring</v>
      </c>
      <c r="V732" t="str">
        <f>TEXT(mergedcleandataset[[#This Row],[date]],"dddd")</f>
        <v>Thursday</v>
      </c>
      <c r="W7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3" spans="1:23" x14ac:dyDescent="0.25">
      <c r="A733">
        <v>741</v>
      </c>
      <c r="B733" s="1">
        <v>40577</v>
      </c>
      <c r="C733">
        <v>1</v>
      </c>
      <c r="D733" t="str">
        <f>TEXT(mergedcleandataset[[#This Row],[dteday]],"yyyy")</f>
        <v>2011</v>
      </c>
      <c r="E733">
        <v>2</v>
      </c>
      <c r="F733">
        <v>6</v>
      </c>
      <c r="G733" t="b">
        <v>0</v>
      </c>
      <c r="H733">
        <v>4</v>
      </c>
      <c r="I733">
        <v>1</v>
      </c>
      <c r="J733">
        <v>0.16</v>
      </c>
      <c r="K733">
        <v>0.13639999999999999</v>
      </c>
      <c r="L733">
        <v>0.43</v>
      </c>
      <c r="M733">
        <v>0.35820000000000002</v>
      </c>
      <c r="N733">
        <v>0</v>
      </c>
      <c r="O733">
        <v>39</v>
      </c>
      <c r="P733">
        <v>39</v>
      </c>
      <c r="Q733" s="2">
        <f>DATE(mergedcleandataset[[#This Row],[yr]],mergedcleandataset[[#This Row],[mnth]],mergedcleandataset[[#This Row],[day]])</f>
        <v>40577</v>
      </c>
      <c r="R733">
        <f>DAY(mergedcleandataset[[#This Row],[dteday]])</f>
        <v>3</v>
      </c>
      <c r="S733" t="str">
        <f>IF(mergedcleandataset[[#This Row],[weekday]]&gt;=5,"Yes","No")</f>
        <v>No</v>
      </c>
      <c r="T733" t="b">
        <f>ISBLANK(mergedcleandataset[[#This Row],[atemp]])</f>
        <v>0</v>
      </c>
      <c r="U733" t="str">
        <f t="shared" si="11"/>
        <v>Spring</v>
      </c>
      <c r="V733" t="str">
        <f>TEXT(mergedcleandataset[[#This Row],[date]],"dddd")</f>
        <v>Thursday</v>
      </c>
      <c r="W7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4" spans="1:23" x14ac:dyDescent="0.25">
      <c r="A734">
        <v>742</v>
      </c>
      <c r="B734" s="1">
        <v>40577</v>
      </c>
      <c r="C734">
        <v>1</v>
      </c>
      <c r="D734" t="str">
        <f>TEXT(mergedcleandataset[[#This Row],[dteday]],"yyyy")</f>
        <v>2011</v>
      </c>
      <c r="E734">
        <v>2</v>
      </c>
      <c r="F734">
        <v>7</v>
      </c>
      <c r="G734" t="b">
        <v>0</v>
      </c>
      <c r="H734">
        <v>4</v>
      </c>
      <c r="I734">
        <v>1</v>
      </c>
      <c r="J734">
        <v>0.14000000000000001</v>
      </c>
      <c r="K734">
        <v>0.1212</v>
      </c>
      <c r="L734">
        <v>0.5</v>
      </c>
      <c r="M734">
        <v>0.32840000000000003</v>
      </c>
      <c r="N734">
        <v>1</v>
      </c>
      <c r="O734">
        <v>86</v>
      </c>
      <c r="P734">
        <v>87</v>
      </c>
      <c r="Q734" s="2">
        <f>DATE(mergedcleandataset[[#This Row],[yr]],mergedcleandataset[[#This Row],[mnth]],mergedcleandataset[[#This Row],[day]])</f>
        <v>40577</v>
      </c>
      <c r="R734">
        <f>DAY(mergedcleandataset[[#This Row],[dteday]])</f>
        <v>3</v>
      </c>
      <c r="S734" t="str">
        <f>IF(mergedcleandataset[[#This Row],[weekday]]&gt;=5,"Yes","No")</f>
        <v>No</v>
      </c>
      <c r="T734" t="b">
        <f>ISBLANK(mergedcleandataset[[#This Row],[atemp]])</f>
        <v>0</v>
      </c>
      <c r="U734" t="str">
        <f t="shared" si="11"/>
        <v>Spring</v>
      </c>
      <c r="V734" t="str">
        <f>TEXT(mergedcleandataset[[#This Row],[date]],"dddd")</f>
        <v>Thursday</v>
      </c>
      <c r="W7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5" spans="1:23" x14ac:dyDescent="0.25">
      <c r="A735">
        <v>743</v>
      </c>
      <c r="B735" s="1">
        <v>40577</v>
      </c>
      <c r="C735">
        <v>1</v>
      </c>
      <c r="D735" t="str">
        <f>TEXT(mergedcleandataset[[#This Row],[dteday]],"yyyy")</f>
        <v>2011</v>
      </c>
      <c r="E735">
        <v>2</v>
      </c>
      <c r="F735">
        <v>8</v>
      </c>
      <c r="G735" t="b">
        <v>0</v>
      </c>
      <c r="H735">
        <v>4</v>
      </c>
      <c r="I735">
        <v>1</v>
      </c>
      <c r="J735">
        <v>0.14000000000000001</v>
      </c>
      <c r="K735">
        <v>0.1212</v>
      </c>
      <c r="L735">
        <v>0.5</v>
      </c>
      <c r="M735">
        <v>0.35820000000000002</v>
      </c>
      <c r="N735">
        <v>4</v>
      </c>
      <c r="O735">
        <v>184</v>
      </c>
      <c r="P735">
        <v>188</v>
      </c>
      <c r="Q735" s="2">
        <f>DATE(mergedcleandataset[[#This Row],[yr]],mergedcleandataset[[#This Row],[mnth]],mergedcleandataset[[#This Row],[day]])</f>
        <v>40577</v>
      </c>
      <c r="R735">
        <f>DAY(mergedcleandataset[[#This Row],[dteday]])</f>
        <v>3</v>
      </c>
      <c r="S735" t="str">
        <f>IF(mergedcleandataset[[#This Row],[weekday]]&gt;=5,"Yes","No")</f>
        <v>No</v>
      </c>
      <c r="T735" t="b">
        <f>ISBLANK(mergedcleandataset[[#This Row],[atemp]])</f>
        <v>0</v>
      </c>
      <c r="U735" t="str">
        <f t="shared" si="11"/>
        <v>Spring</v>
      </c>
      <c r="V735" t="str">
        <f>TEXT(mergedcleandataset[[#This Row],[date]],"dddd")</f>
        <v>Thursday</v>
      </c>
      <c r="W7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6" spans="1:23" x14ac:dyDescent="0.25">
      <c r="A736">
        <v>744</v>
      </c>
      <c r="B736" s="1">
        <v>40577</v>
      </c>
      <c r="C736">
        <v>1</v>
      </c>
      <c r="D736" t="str">
        <f>TEXT(mergedcleandataset[[#This Row],[dteday]],"yyyy")</f>
        <v>2011</v>
      </c>
      <c r="E736">
        <v>2</v>
      </c>
      <c r="F736">
        <v>9</v>
      </c>
      <c r="G736" t="b">
        <v>0</v>
      </c>
      <c r="H736">
        <v>4</v>
      </c>
      <c r="I736">
        <v>1</v>
      </c>
      <c r="J736">
        <v>0.16</v>
      </c>
      <c r="K736">
        <v>0.13639999999999999</v>
      </c>
      <c r="L736">
        <v>0.47</v>
      </c>
      <c r="M736">
        <v>0.29849999999999999</v>
      </c>
      <c r="N736">
        <v>6</v>
      </c>
      <c r="O736">
        <v>127</v>
      </c>
      <c r="P736">
        <v>133</v>
      </c>
      <c r="Q736" s="2">
        <f>DATE(mergedcleandataset[[#This Row],[yr]],mergedcleandataset[[#This Row],[mnth]],mergedcleandataset[[#This Row],[day]])</f>
        <v>40577</v>
      </c>
      <c r="R736">
        <f>DAY(mergedcleandataset[[#This Row],[dteday]])</f>
        <v>3</v>
      </c>
      <c r="S736" t="str">
        <f>IF(mergedcleandataset[[#This Row],[weekday]]&gt;=5,"Yes","No")</f>
        <v>No</v>
      </c>
      <c r="T736" t="b">
        <f>ISBLANK(mergedcleandataset[[#This Row],[atemp]])</f>
        <v>0</v>
      </c>
      <c r="U736" t="str">
        <f t="shared" si="11"/>
        <v>Spring</v>
      </c>
      <c r="V736" t="str">
        <f>TEXT(mergedcleandataset[[#This Row],[date]],"dddd")</f>
        <v>Thursday</v>
      </c>
      <c r="W7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7" spans="1:23" x14ac:dyDescent="0.25">
      <c r="A737">
        <v>745</v>
      </c>
      <c r="B737" s="1">
        <v>40577</v>
      </c>
      <c r="C737">
        <v>1</v>
      </c>
      <c r="D737" t="str">
        <f>TEXT(mergedcleandataset[[#This Row],[dteday]],"yyyy")</f>
        <v>2011</v>
      </c>
      <c r="E737">
        <v>2</v>
      </c>
      <c r="F737">
        <v>10</v>
      </c>
      <c r="G737" t="b">
        <v>0</v>
      </c>
      <c r="H737">
        <v>4</v>
      </c>
      <c r="I737">
        <v>1</v>
      </c>
      <c r="J737">
        <v>0.18</v>
      </c>
      <c r="K737">
        <v>0.1515</v>
      </c>
      <c r="L737">
        <v>0.43</v>
      </c>
      <c r="M737">
        <v>0.32840000000000003</v>
      </c>
      <c r="N737">
        <v>2</v>
      </c>
      <c r="O737">
        <v>50</v>
      </c>
      <c r="P737">
        <v>52</v>
      </c>
      <c r="Q737" s="2">
        <f>DATE(mergedcleandataset[[#This Row],[yr]],mergedcleandataset[[#This Row],[mnth]],mergedcleandataset[[#This Row],[day]])</f>
        <v>40577</v>
      </c>
      <c r="R737">
        <f>DAY(mergedcleandataset[[#This Row],[dteday]])</f>
        <v>3</v>
      </c>
      <c r="S737" t="str">
        <f>IF(mergedcleandataset[[#This Row],[weekday]]&gt;=5,"Yes","No")</f>
        <v>No</v>
      </c>
      <c r="T737" t="b">
        <f>ISBLANK(mergedcleandataset[[#This Row],[atemp]])</f>
        <v>0</v>
      </c>
      <c r="U737" t="str">
        <f t="shared" si="11"/>
        <v>Spring</v>
      </c>
      <c r="V737" t="str">
        <f>TEXT(mergedcleandataset[[#This Row],[date]],"dddd")</f>
        <v>Thursday</v>
      </c>
      <c r="W73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8" spans="1:23" x14ac:dyDescent="0.25">
      <c r="A738">
        <v>746</v>
      </c>
      <c r="B738" s="1">
        <v>40577</v>
      </c>
      <c r="C738">
        <v>1</v>
      </c>
      <c r="D738" t="str">
        <f>TEXT(mergedcleandataset[[#This Row],[dteday]],"yyyy")</f>
        <v>2011</v>
      </c>
      <c r="E738">
        <v>2</v>
      </c>
      <c r="F738">
        <v>11</v>
      </c>
      <c r="G738" t="b">
        <v>0</v>
      </c>
      <c r="H738">
        <v>4</v>
      </c>
      <c r="I738">
        <v>1</v>
      </c>
      <c r="J738">
        <v>0.18</v>
      </c>
      <c r="K738">
        <v>0.13639999999999999</v>
      </c>
      <c r="L738">
        <v>0.43</v>
      </c>
      <c r="M738">
        <v>0.44779999999999998</v>
      </c>
      <c r="N738">
        <v>9</v>
      </c>
      <c r="O738">
        <v>55</v>
      </c>
      <c r="P738">
        <v>64</v>
      </c>
      <c r="Q738" s="2">
        <f>DATE(mergedcleandataset[[#This Row],[yr]],mergedcleandataset[[#This Row],[mnth]],mergedcleandataset[[#This Row],[day]])</f>
        <v>40577</v>
      </c>
      <c r="R738">
        <f>DAY(mergedcleandataset[[#This Row],[dteday]])</f>
        <v>3</v>
      </c>
      <c r="S738" t="str">
        <f>IF(mergedcleandataset[[#This Row],[weekday]]&gt;=5,"Yes","No")</f>
        <v>No</v>
      </c>
      <c r="T738" t="b">
        <f>ISBLANK(mergedcleandataset[[#This Row],[atemp]])</f>
        <v>0</v>
      </c>
      <c r="U738" t="str">
        <f t="shared" si="11"/>
        <v>Spring</v>
      </c>
      <c r="V738" t="str">
        <f>TEXT(mergedcleandataset[[#This Row],[date]],"dddd")</f>
        <v>Thursday</v>
      </c>
      <c r="W73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39" spans="1:23" x14ac:dyDescent="0.25">
      <c r="A739">
        <v>747</v>
      </c>
      <c r="B739" s="1">
        <v>40577</v>
      </c>
      <c r="C739">
        <v>1</v>
      </c>
      <c r="D739" t="str">
        <f>TEXT(mergedcleandataset[[#This Row],[dteday]],"yyyy")</f>
        <v>2011</v>
      </c>
      <c r="E739">
        <v>2</v>
      </c>
      <c r="F739">
        <v>12</v>
      </c>
      <c r="G739" t="b">
        <v>0</v>
      </c>
      <c r="H739">
        <v>4</v>
      </c>
      <c r="I739">
        <v>1</v>
      </c>
      <c r="J739">
        <v>0.2</v>
      </c>
      <c r="K739">
        <v>0.18179999999999999</v>
      </c>
      <c r="L739">
        <v>0.4</v>
      </c>
      <c r="M739">
        <v>0.35820000000000002</v>
      </c>
      <c r="N739">
        <v>2</v>
      </c>
      <c r="O739">
        <v>67</v>
      </c>
      <c r="P739">
        <v>69</v>
      </c>
      <c r="Q739" s="2">
        <f>DATE(mergedcleandataset[[#This Row],[yr]],mergedcleandataset[[#This Row],[mnth]],mergedcleandataset[[#This Row],[day]])</f>
        <v>40577</v>
      </c>
      <c r="R739">
        <f>DAY(mergedcleandataset[[#This Row],[dteday]])</f>
        <v>3</v>
      </c>
      <c r="S739" t="str">
        <f>IF(mergedcleandataset[[#This Row],[weekday]]&gt;=5,"Yes","No")</f>
        <v>No</v>
      </c>
      <c r="T739" t="b">
        <f>ISBLANK(mergedcleandataset[[#This Row],[atemp]])</f>
        <v>0</v>
      </c>
      <c r="U739" t="str">
        <f t="shared" si="11"/>
        <v>Spring</v>
      </c>
      <c r="V739" t="str">
        <f>TEXT(mergedcleandataset[[#This Row],[date]],"dddd")</f>
        <v>Thursday</v>
      </c>
      <c r="W73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0" spans="1:23" x14ac:dyDescent="0.25">
      <c r="A740">
        <v>748</v>
      </c>
      <c r="B740" s="1">
        <v>40577</v>
      </c>
      <c r="C740">
        <v>1</v>
      </c>
      <c r="D740" t="str">
        <f>TEXT(mergedcleandataset[[#This Row],[dteday]],"yyyy")</f>
        <v>2011</v>
      </c>
      <c r="E740">
        <v>2</v>
      </c>
      <c r="F740">
        <v>13</v>
      </c>
      <c r="G740" t="b">
        <v>0</v>
      </c>
      <c r="H740">
        <v>4</v>
      </c>
      <c r="I740">
        <v>1</v>
      </c>
      <c r="J740">
        <v>0.2</v>
      </c>
      <c r="K740">
        <v>0.16669999999999999</v>
      </c>
      <c r="L740">
        <v>0.4</v>
      </c>
      <c r="M740">
        <v>0.41789999999999999</v>
      </c>
      <c r="N740">
        <v>4</v>
      </c>
      <c r="O740">
        <v>47</v>
      </c>
      <c r="P740">
        <v>51</v>
      </c>
      <c r="Q740" s="2">
        <f>DATE(mergedcleandataset[[#This Row],[yr]],mergedcleandataset[[#This Row],[mnth]],mergedcleandataset[[#This Row],[day]])</f>
        <v>40577</v>
      </c>
      <c r="R740">
        <f>DAY(mergedcleandataset[[#This Row],[dteday]])</f>
        <v>3</v>
      </c>
      <c r="S740" t="str">
        <f>IF(mergedcleandataset[[#This Row],[weekday]]&gt;=5,"Yes","No")</f>
        <v>No</v>
      </c>
      <c r="T740" t="b">
        <f>ISBLANK(mergedcleandataset[[#This Row],[atemp]])</f>
        <v>0</v>
      </c>
      <c r="U740" t="str">
        <f t="shared" si="11"/>
        <v>Spring</v>
      </c>
      <c r="V740" t="str">
        <f>TEXT(mergedcleandataset[[#This Row],[date]],"dddd")</f>
        <v>Thursday</v>
      </c>
      <c r="W74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1" spans="1:23" x14ac:dyDescent="0.25">
      <c r="A741">
        <v>749</v>
      </c>
      <c r="B741" s="1">
        <v>40577</v>
      </c>
      <c r="C741">
        <v>1</v>
      </c>
      <c r="D741" t="str">
        <f>TEXT(mergedcleandataset[[#This Row],[dteday]],"yyyy")</f>
        <v>2011</v>
      </c>
      <c r="E741">
        <v>2</v>
      </c>
      <c r="F741">
        <v>14</v>
      </c>
      <c r="G741" t="b">
        <v>0</v>
      </c>
      <c r="H741">
        <v>4</v>
      </c>
      <c r="I741">
        <v>1</v>
      </c>
      <c r="J741">
        <v>0.22</v>
      </c>
      <c r="K741">
        <v>0.19700000000000001</v>
      </c>
      <c r="L741">
        <v>0.37</v>
      </c>
      <c r="M741">
        <v>0.3881</v>
      </c>
      <c r="N741">
        <v>4</v>
      </c>
      <c r="O741">
        <v>43</v>
      </c>
      <c r="P741">
        <v>47</v>
      </c>
      <c r="Q741" s="2">
        <f>DATE(mergedcleandataset[[#This Row],[yr]],mergedcleandataset[[#This Row],[mnth]],mergedcleandataset[[#This Row],[day]])</f>
        <v>40577</v>
      </c>
      <c r="R741">
        <f>DAY(mergedcleandataset[[#This Row],[dteday]])</f>
        <v>3</v>
      </c>
      <c r="S741" t="str">
        <f>IF(mergedcleandataset[[#This Row],[weekday]]&gt;=5,"Yes","No")</f>
        <v>No</v>
      </c>
      <c r="T741" t="b">
        <f>ISBLANK(mergedcleandataset[[#This Row],[atemp]])</f>
        <v>0</v>
      </c>
      <c r="U741" t="str">
        <f t="shared" si="11"/>
        <v>Spring</v>
      </c>
      <c r="V741" t="str">
        <f>TEXT(mergedcleandataset[[#This Row],[date]],"dddd")</f>
        <v>Thursday</v>
      </c>
      <c r="W74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2" spans="1:23" x14ac:dyDescent="0.25">
      <c r="A742">
        <v>750</v>
      </c>
      <c r="B742" s="1">
        <v>40577</v>
      </c>
      <c r="C742">
        <v>1</v>
      </c>
      <c r="D742" t="str">
        <f>TEXT(mergedcleandataset[[#This Row],[dteday]],"yyyy")</f>
        <v>2011</v>
      </c>
      <c r="E742">
        <v>2</v>
      </c>
      <c r="F742">
        <v>15</v>
      </c>
      <c r="G742" t="b">
        <v>0</v>
      </c>
      <c r="H742">
        <v>4</v>
      </c>
      <c r="I742">
        <v>1</v>
      </c>
      <c r="J742">
        <v>0.22</v>
      </c>
      <c r="K742">
        <v>0.19700000000000001</v>
      </c>
      <c r="L742">
        <v>0.37</v>
      </c>
      <c r="M742">
        <v>0.32840000000000003</v>
      </c>
      <c r="N742">
        <v>4</v>
      </c>
      <c r="O742">
        <v>56</v>
      </c>
      <c r="P742">
        <v>60</v>
      </c>
      <c r="Q742" s="2">
        <f>DATE(mergedcleandataset[[#This Row],[yr]],mergedcleandataset[[#This Row],[mnth]],mergedcleandataset[[#This Row],[day]])</f>
        <v>40577</v>
      </c>
      <c r="R742">
        <f>DAY(mergedcleandataset[[#This Row],[dteday]])</f>
        <v>3</v>
      </c>
      <c r="S742" t="str">
        <f>IF(mergedcleandataset[[#This Row],[weekday]]&gt;=5,"Yes","No")</f>
        <v>No</v>
      </c>
      <c r="T742" t="b">
        <f>ISBLANK(mergedcleandataset[[#This Row],[atemp]])</f>
        <v>0</v>
      </c>
      <c r="U742" t="str">
        <f t="shared" si="11"/>
        <v>Spring</v>
      </c>
      <c r="V742" t="str">
        <f>TEXT(mergedcleandataset[[#This Row],[date]],"dddd")</f>
        <v>Thursday</v>
      </c>
      <c r="W74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3" spans="1:23" x14ac:dyDescent="0.25">
      <c r="A743">
        <v>751</v>
      </c>
      <c r="B743" s="1">
        <v>40577</v>
      </c>
      <c r="C743">
        <v>1</v>
      </c>
      <c r="D743" t="str">
        <f>TEXT(mergedcleandataset[[#This Row],[dteday]],"yyyy")</f>
        <v>2011</v>
      </c>
      <c r="E743">
        <v>2</v>
      </c>
      <c r="F743">
        <v>16</v>
      </c>
      <c r="G743" t="b">
        <v>0</v>
      </c>
      <c r="H743">
        <v>4</v>
      </c>
      <c r="I743">
        <v>1</v>
      </c>
      <c r="J743">
        <v>0.22</v>
      </c>
      <c r="K743">
        <v>0.21210000000000001</v>
      </c>
      <c r="L743">
        <v>0.37</v>
      </c>
      <c r="M743">
        <v>0.25369999999999998</v>
      </c>
      <c r="N743">
        <v>5</v>
      </c>
      <c r="O743">
        <v>73</v>
      </c>
      <c r="P743">
        <v>78</v>
      </c>
      <c r="Q743" s="2">
        <f>DATE(mergedcleandataset[[#This Row],[yr]],mergedcleandataset[[#This Row],[mnth]],mergedcleandataset[[#This Row],[day]])</f>
        <v>40577</v>
      </c>
      <c r="R743">
        <f>DAY(mergedcleandataset[[#This Row],[dteday]])</f>
        <v>3</v>
      </c>
      <c r="S743" t="str">
        <f>IF(mergedcleandataset[[#This Row],[weekday]]&gt;=5,"Yes","No")</f>
        <v>No</v>
      </c>
      <c r="T743" t="b">
        <f>ISBLANK(mergedcleandataset[[#This Row],[atemp]])</f>
        <v>0</v>
      </c>
      <c r="U743" t="str">
        <f t="shared" si="11"/>
        <v>Spring</v>
      </c>
      <c r="V743" t="str">
        <f>TEXT(mergedcleandataset[[#This Row],[date]],"dddd")</f>
        <v>Thursday</v>
      </c>
      <c r="W74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4" spans="1:23" x14ac:dyDescent="0.25">
      <c r="A744">
        <v>752</v>
      </c>
      <c r="B744" s="1">
        <v>40577</v>
      </c>
      <c r="C744">
        <v>1</v>
      </c>
      <c r="D744" t="str">
        <f>TEXT(mergedcleandataset[[#This Row],[dteday]],"yyyy")</f>
        <v>2011</v>
      </c>
      <c r="E744">
        <v>2</v>
      </c>
      <c r="F744">
        <v>17</v>
      </c>
      <c r="G744" t="b">
        <v>0</v>
      </c>
      <c r="H744">
        <v>4</v>
      </c>
      <c r="I744">
        <v>1</v>
      </c>
      <c r="J744">
        <v>0.2</v>
      </c>
      <c r="K744">
        <v>0.19700000000000001</v>
      </c>
      <c r="L744">
        <v>0.4</v>
      </c>
      <c r="M744">
        <v>0.19400000000000001</v>
      </c>
      <c r="N744">
        <v>5</v>
      </c>
      <c r="O744">
        <v>170</v>
      </c>
      <c r="P744">
        <v>175</v>
      </c>
      <c r="Q744" s="2">
        <f>DATE(mergedcleandataset[[#This Row],[yr]],mergedcleandataset[[#This Row],[mnth]],mergedcleandataset[[#This Row],[day]])</f>
        <v>40577</v>
      </c>
      <c r="R744">
        <f>DAY(mergedcleandataset[[#This Row],[dteday]])</f>
        <v>3</v>
      </c>
      <c r="S744" t="str">
        <f>IF(mergedcleandataset[[#This Row],[weekday]]&gt;=5,"Yes","No")</f>
        <v>No</v>
      </c>
      <c r="T744" t="b">
        <f>ISBLANK(mergedcleandataset[[#This Row],[atemp]])</f>
        <v>0</v>
      </c>
      <c r="U744" t="str">
        <f t="shared" si="11"/>
        <v>Spring</v>
      </c>
      <c r="V744" t="str">
        <f>TEXT(mergedcleandataset[[#This Row],[date]],"dddd")</f>
        <v>Thursday</v>
      </c>
      <c r="W74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5" spans="1:23" x14ac:dyDescent="0.25">
      <c r="A745">
        <v>753</v>
      </c>
      <c r="B745" s="1">
        <v>40577</v>
      </c>
      <c r="C745">
        <v>1</v>
      </c>
      <c r="D745" t="str">
        <f>TEXT(mergedcleandataset[[#This Row],[dteday]],"yyyy")</f>
        <v>2011</v>
      </c>
      <c r="E745">
        <v>2</v>
      </c>
      <c r="F745">
        <v>18</v>
      </c>
      <c r="G745" t="b">
        <v>0</v>
      </c>
      <c r="H745">
        <v>4</v>
      </c>
      <c r="I745">
        <v>1</v>
      </c>
      <c r="J745">
        <v>0.2</v>
      </c>
      <c r="K745">
        <v>0.21210000000000001</v>
      </c>
      <c r="L745">
        <v>0.4</v>
      </c>
      <c r="M745">
        <v>0.16420000000000001</v>
      </c>
      <c r="N745">
        <v>2</v>
      </c>
      <c r="O745">
        <v>145</v>
      </c>
      <c r="P745">
        <v>147</v>
      </c>
      <c r="Q745" s="2">
        <f>DATE(mergedcleandataset[[#This Row],[yr]],mergedcleandataset[[#This Row],[mnth]],mergedcleandataset[[#This Row],[day]])</f>
        <v>40577</v>
      </c>
      <c r="R745">
        <f>DAY(mergedcleandataset[[#This Row],[dteday]])</f>
        <v>3</v>
      </c>
      <c r="S745" t="str">
        <f>IF(mergedcleandataset[[#This Row],[weekday]]&gt;=5,"Yes","No")</f>
        <v>No</v>
      </c>
      <c r="T745" t="b">
        <f>ISBLANK(mergedcleandataset[[#This Row],[atemp]])</f>
        <v>0</v>
      </c>
      <c r="U745" t="str">
        <f t="shared" si="11"/>
        <v>Spring</v>
      </c>
      <c r="V745" t="str">
        <f>TEXT(mergedcleandataset[[#This Row],[date]],"dddd")</f>
        <v>Thursday</v>
      </c>
      <c r="W74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6" spans="1:23" x14ac:dyDescent="0.25">
      <c r="A746">
        <v>754</v>
      </c>
      <c r="B746" s="1">
        <v>40577</v>
      </c>
      <c r="C746">
        <v>1</v>
      </c>
      <c r="D746" t="str">
        <f>TEXT(mergedcleandataset[[#This Row],[dteday]],"yyyy")</f>
        <v>2011</v>
      </c>
      <c r="E746">
        <v>2</v>
      </c>
      <c r="F746">
        <v>19</v>
      </c>
      <c r="G746" t="b">
        <v>0</v>
      </c>
      <c r="H746">
        <v>4</v>
      </c>
      <c r="I746">
        <v>1</v>
      </c>
      <c r="J746">
        <v>0.2</v>
      </c>
      <c r="K746">
        <v>0.2576</v>
      </c>
      <c r="L746">
        <v>0.4</v>
      </c>
      <c r="M746">
        <v>0</v>
      </c>
      <c r="N746">
        <v>4</v>
      </c>
      <c r="O746">
        <v>92</v>
      </c>
      <c r="P746">
        <v>96</v>
      </c>
      <c r="Q746" s="2">
        <f>DATE(mergedcleandataset[[#This Row],[yr]],mergedcleandataset[[#This Row],[mnth]],mergedcleandataset[[#This Row],[day]])</f>
        <v>40577</v>
      </c>
      <c r="R746">
        <f>DAY(mergedcleandataset[[#This Row],[dteday]])</f>
        <v>3</v>
      </c>
      <c r="S746" t="str">
        <f>IF(mergedcleandataset[[#This Row],[weekday]]&gt;=5,"Yes","No")</f>
        <v>No</v>
      </c>
      <c r="T746" t="b">
        <f>ISBLANK(mergedcleandataset[[#This Row],[atemp]])</f>
        <v>0</v>
      </c>
      <c r="U746" t="str">
        <f t="shared" si="11"/>
        <v>Spring</v>
      </c>
      <c r="V746" t="str">
        <f>TEXT(mergedcleandataset[[#This Row],[date]],"dddd")</f>
        <v>Thursday</v>
      </c>
      <c r="W74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7" spans="1:23" x14ac:dyDescent="0.25">
      <c r="A747">
        <v>755</v>
      </c>
      <c r="B747" s="1">
        <v>40577</v>
      </c>
      <c r="C747">
        <v>1</v>
      </c>
      <c r="D747" t="str">
        <f>TEXT(mergedcleandataset[[#This Row],[dteday]],"yyyy")</f>
        <v>2011</v>
      </c>
      <c r="E747">
        <v>2</v>
      </c>
      <c r="F747">
        <v>20</v>
      </c>
      <c r="G747" t="b">
        <v>0</v>
      </c>
      <c r="H747">
        <v>4</v>
      </c>
      <c r="I747">
        <v>1</v>
      </c>
      <c r="J747">
        <v>0.2</v>
      </c>
      <c r="K747">
        <v>0.2273</v>
      </c>
      <c r="L747">
        <v>0.47</v>
      </c>
      <c r="M747">
        <v>8.9599999999999999E-2</v>
      </c>
      <c r="N747">
        <v>1</v>
      </c>
      <c r="O747">
        <v>108</v>
      </c>
      <c r="P747">
        <v>109</v>
      </c>
      <c r="Q747" s="2">
        <f>DATE(mergedcleandataset[[#This Row],[yr]],mergedcleandataset[[#This Row],[mnth]],mergedcleandataset[[#This Row],[day]])</f>
        <v>40577</v>
      </c>
      <c r="R747">
        <f>DAY(mergedcleandataset[[#This Row],[dteday]])</f>
        <v>3</v>
      </c>
      <c r="S747" t="str">
        <f>IF(mergedcleandataset[[#This Row],[weekday]]&gt;=5,"Yes","No")</f>
        <v>No</v>
      </c>
      <c r="T747" t="b">
        <f>ISBLANK(mergedcleandataset[[#This Row],[atemp]])</f>
        <v>0</v>
      </c>
      <c r="U747" t="str">
        <f t="shared" si="11"/>
        <v>Spring</v>
      </c>
      <c r="V747" t="str">
        <f>TEXT(mergedcleandataset[[#This Row],[date]],"dddd")</f>
        <v>Thursday</v>
      </c>
      <c r="W74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8" spans="1:23" x14ac:dyDescent="0.25">
      <c r="A748">
        <v>756</v>
      </c>
      <c r="B748" s="1">
        <v>40577</v>
      </c>
      <c r="C748">
        <v>1</v>
      </c>
      <c r="D748" t="str">
        <f>TEXT(mergedcleandataset[[#This Row],[dteday]],"yyyy")</f>
        <v>2011</v>
      </c>
      <c r="E748">
        <v>2</v>
      </c>
      <c r="F748">
        <v>21</v>
      </c>
      <c r="G748" t="b">
        <v>0</v>
      </c>
      <c r="H748">
        <v>4</v>
      </c>
      <c r="I748">
        <v>1</v>
      </c>
      <c r="J748">
        <v>0.18</v>
      </c>
      <c r="K748">
        <v>0.21210000000000001</v>
      </c>
      <c r="L748">
        <v>0.55000000000000004</v>
      </c>
      <c r="M748">
        <v>0.1045</v>
      </c>
      <c r="N748">
        <v>1</v>
      </c>
      <c r="O748">
        <v>53</v>
      </c>
      <c r="P748">
        <v>54</v>
      </c>
      <c r="Q748" s="2">
        <f>DATE(mergedcleandataset[[#This Row],[yr]],mergedcleandataset[[#This Row],[mnth]],mergedcleandataset[[#This Row],[day]])</f>
        <v>40577</v>
      </c>
      <c r="R748">
        <f>DAY(mergedcleandataset[[#This Row],[dteday]])</f>
        <v>3</v>
      </c>
      <c r="S748" t="str">
        <f>IF(mergedcleandataset[[#This Row],[weekday]]&gt;=5,"Yes","No")</f>
        <v>No</v>
      </c>
      <c r="T748" t="b">
        <f>ISBLANK(mergedcleandataset[[#This Row],[atemp]])</f>
        <v>0</v>
      </c>
      <c r="U748" t="str">
        <f t="shared" si="11"/>
        <v>Spring</v>
      </c>
      <c r="V748" t="str">
        <f>TEXT(mergedcleandataset[[#This Row],[date]],"dddd")</f>
        <v>Thursday</v>
      </c>
      <c r="W74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49" spans="1:23" x14ac:dyDescent="0.25">
      <c r="A749">
        <v>757</v>
      </c>
      <c r="B749" s="1">
        <v>40577</v>
      </c>
      <c r="C749">
        <v>1</v>
      </c>
      <c r="D749" t="str">
        <f>TEXT(mergedcleandataset[[#This Row],[dteday]],"yyyy")</f>
        <v>2011</v>
      </c>
      <c r="E749">
        <v>2</v>
      </c>
      <c r="F749">
        <v>22</v>
      </c>
      <c r="G749" t="b">
        <v>0</v>
      </c>
      <c r="H749">
        <v>4</v>
      </c>
      <c r="I749">
        <v>1</v>
      </c>
      <c r="J749">
        <v>0.18</v>
      </c>
      <c r="K749">
        <v>0.21210000000000001</v>
      </c>
      <c r="L749">
        <v>0.51</v>
      </c>
      <c r="M749">
        <v>8.9599999999999999E-2</v>
      </c>
      <c r="N749">
        <v>2</v>
      </c>
      <c r="O749">
        <v>39</v>
      </c>
      <c r="P749">
        <v>41</v>
      </c>
      <c r="Q749" s="2">
        <f>DATE(mergedcleandataset[[#This Row],[yr]],mergedcleandataset[[#This Row],[mnth]],mergedcleandataset[[#This Row],[day]])</f>
        <v>40577</v>
      </c>
      <c r="R749">
        <f>DAY(mergedcleandataset[[#This Row],[dteday]])</f>
        <v>3</v>
      </c>
      <c r="S749" t="str">
        <f>IF(mergedcleandataset[[#This Row],[weekday]]&gt;=5,"Yes","No")</f>
        <v>No</v>
      </c>
      <c r="T749" t="b">
        <f>ISBLANK(mergedcleandataset[[#This Row],[atemp]])</f>
        <v>0</v>
      </c>
      <c r="U749" t="str">
        <f t="shared" si="11"/>
        <v>Spring</v>
      </c>
      <c r="V749" t="str">
        <f>TEXT(mergedcleandataset[[#This Row],[date]],"dddd")</f>
        <v>Thursday</v>
      </c>
      <c r="W74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50" spans="1:23" x14ac:dyDescent="0.25">
      <c r="A750">
        <v>758</v>
      </c>
      <c r="B750" s="1">
        <v>40577</v>
      </c>
      <c r="C750">
        <v>1</v>
      </c>
      <c r="D750" t="str">
        <f>TEXT(mergedcleandataset[[#This Row],[dteday]],"yyyy")</f>
        <v>2011</v>
      </c>
      <c r="E750">
        <v>2</v>
      </c>
      <c r="F750">
        <v>23</v>
      </c>
      <c r="G750" t="b">
        <v>0</v>
      </c>
      <c r="H750">
        <v>4</v>
      </c>
      <c r="I750">
        <v>1</v>
      </c>
      <c r="J750">
        <v>0.2</v>
      </c>
      <c r="K750">
        <v>0.2273</v>
      </c>
      <c r="L750">
        <v>0.47</v>
      </c>
      <c r="M750">
        <v>0.1045</v>
      </c>
      <c r="N750">
        <v>4</v>
      </c>
      <c r="O750">
        <v>34</v>
      </c>
      <c r="P750">
        <v>38</v>
      </c>
      <c r="Q750" s="2">
        <f>DATE(mergedcleandataset[[#This Row],[yr]],mergedcleandataset[[#This Row],[mnth]],mergedcleandataset[[#This Row],[day]])</f>
        <v>40577</v>
      </c>
      <c r="R750">
        <f>DAY(mergedcleandataset[[#This Row],[dteday]])</f>
        <v>3</v>
      </c>
      <c r="S750" t="str">
        <f>IF(mergedcleandataset[[#This Row],[weekday]]&gt;=5,"Yes","No")</f>
        <v>No</v>
      </c>
      <c r="T750" t="b">
        <f>ISBLANK(mergedcleandataset[[#This Row],[atemp]])</f>
        <v>0</v>
      </c>
      <c r="U750" t="str">
        <f t="shared" si="11"/>
        <v>Spring</v>
      </c>
      <c r="V750" t="str">
        <f>TEXT(mergedcleandataset[[#This Row],[date]],"dddd")</f>
        <v>Thursday</v>
      </c>
      <c r="W75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51" spans="1:23" x14ac:dyDescent="0.25">
      <c r="A751">
        <v>759</v>
      </c>
      <c r="B751" s="1">
        <v>40578</v>
      </c>
      <c r="C751">
        <v>1</v>
      </c>
      <c r="D751" t="str">
        <f>TEXT(mergedcleandataset[[#This Row],[dteday]],"yyyy")</f>
        <v>2011</v>
      </c>
      <c r="E751">
        <v>2</v>
      </c>
      <c r="F751">
        <v>0</v>
      </c>
      <c r="G751" t="b">
        <v>0</v>
      </c>
      <c r="H751">
        <v>5</v>
      </c>
      <c r="I751">
        <v>2</v>
      </c>
      <c r="J751">
        <v>0.2</v>
      </c>
      <c r="K751">
        <v>0.2576</v>
      </c>
      <c r="L751">
        <v>0.44</v>
      </c>
      <c r="M751">
        <v>0</v>
      </c>
      <c r="N751">
        <v>3</v>
      </c>
      <c r="O751">
        <v>10</v>
      </c>
      <c r="P751">
        <v>13</v>
      </c>
      <c r="Q751" s="2">
        <f>DATE(mergedcleandataset[[#This Row],[yr]],mergedcleandataset[[#This Row],[mnth]],mergedcleandataset[[#This Row],[day]])</f>
        <v>40578</v>
      </c>
      <c r="R751">
        <f>DAY(mergedcleandataset[[#This Row],[dteday]])</f>
        <v>4</v>
      </c>
      <c r="S751" t="str">
        <f>IF(mergedcleandataset[[#This Row],[weekday]]&gt;=5,"Yes","No")</f>
        <v>Yes</v>
      </c>
      <c r="T751" t="b">
        <f>ISBLANK(mergedcleandataset[[#This Row],[atemp]])</f>
        <v>0</v>
      </c>
      <c r="U751" t="str">
        <f t="shared" si="11"/>
        <v>Spring</v>
      </c>
      <c r="V751" t="str">
        <f>TEXT(mergedcleandataset[[#This Row],[date]],"dddd")</f>
        <v>Friday</v>
      </c>
      <c r="W75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52" spans="1:23" x14ac:dyDescent="0.25">
      <c r="A752">
        <v>760</v>
      </c>
      <c r="B752" s="1">
        <v>40578</v>
      </c>
      <c r="C752">
        <v>1</v>
      </c>
      <c r="D752" t="str">
        <f>TEXT(mergedcleandataset[[#This Row],[dteday]],"yyyy")</f>
        <v>2011</v>
      </c>
      <c r="E752">
        <v>2</v>
      </c>
      <c r="F752">
        <v>1</v>
      </c>
      <c r="G752" t="b">
        <v>0</v>
      </c>
      <c r="H752">
        <v>5</v>
      </c>
      <c r="I752">
        <v>2</v>
      </c>
      <c r="J752">
        <v>0.16</v>
      </c>
      <c r="K752">
        <v>0.2273</v>
      </c>
      <c r="L752">
        <v>0.59</v>
      </c>
      <c r="M752">
        <v>0</v>
      </c>
      <c r="N752">
        <v>0</v>
      </c>
      <c r="O752">
        <v>7</v>
      </c>
      <c r="P752">
        <v>7</v>
      </c>
      <c r="Q752" s="2">
        <f>DATE(mergedcleandataset[[#This Row],[yr]],mergedcleandataset[[#This Row],[mnth]],mergedcleandataset[[#This Row],[day]])</f>
        <v>40578</v>
      </c>
      <c r="R752">
        <f>DAY(mergedcleandataset[[#This Row],[dteday]])</f>
        <v>4</v>
      </c>
      <c r="S752" t="str">
        <f>IF(mergedcleandataset[[#This Row],[weekday]]&gt;=5,"Yes","No")</f>
        <v>Yes</v>
      </c>
      <c r="T752" t="b">
        <f>ISBLANK(mergedcleandataset[[#This Row],[atemp]])</f>
        <v>0</v>
      </c>
      <c r="U752" t="str">
        <f t="shared" si="11"/>
        <v>Spring</v>
      </c>
      <c r="V752" t="str">
        <f>TEXT(mergedcleandataset[[#This Row],[date]],"dddd")</f>
        <v>Friday</v>
      </c>
      <c r="W75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53" spans="1:23" x14ac:dyDescent="0.25">
      <c r="A753">
        <v>761</v>
      </c>
      <c r="B753" s="1">
        <v>40578</v>
      </c>
      <c r="C753">
        <v>1</v>
      </c>
      <c r="D753" t="str">
        <f>TEXT(mergedcleandataset[[#This Row],[dteday]],"yyyy")</f>
        <v>2011</v>
      </c>
      <c r="E753">
        <v>2</v>
      </c>
      <c r="F753">
        <v>2</v>
      </c>
      <c r="G753" t="b">
        <v>0</v>
      </c>
      <c r="H753">
        <v>5</v>
      </c>
      <c r="I753">
        <v>2</v>
      </c>
      <c r="J753">
        <v>0.14000000000000001</v>
      </c>
      <c r="K753">
        <v>0.16669999999999999</v>
      </c>
      <c r="L753">
        <v>0.63</v>
      </c>
      <c r="M753">
        <v>0.1045</v>
      </c>
      <c r="N753">
        <v>0</v>
      </c>
      <c r="O753">
        <v>1</v>
      </c>
      <c r="P753">
        <v>1</v>
      </c>
      <c r="Q753" s="2">
        <f>DATE(mergedcleandataset[[#This Row],[yr]],mergedcleandataset[[#This Row],[mnth]],mergedcleandataset[[#This Row],[day]])</f>
        <v>40578</v>
      </c>
      <c r="R753">
        <f>DAY(mergedcleandataset[[#This Row],[dteday]])</f>
        <v>4</v>
      </c>
      <c r="S753" t="str">
        <f>IF(mergedcleandataset[[#This Row],[weekday]]&gt;=5,"Yes","No")</f>
        <v>Yes</v>
      </c>
      <c r="T753" t="b">
        <f>ISBLANK(mergedcleandataset[[#This Row],[atemp]])</f>
        <v>0</v>
      </c>
      <c r="U753" t="str">
        <f t="shared" si="11"/>
        <v>Spring</v>
      </c>
      <c r="V753" t="str">
        <f>TEXT(mergedcleandataset[[#This Row],[date]],"dddd")</f>
        <v>Friday</v>
      </c>
      <c r="W75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54" spans="1:23" x14ac:dyDescent="0.25">
      <c r="A754">
        <v>762</v>
      </c>
      <c r="B754" s="1">
        <v>40578</v>
      </c>
      <c r="C754">
        <v>1</v>
      </c>
      <c r="D754" t="str">
        <f>TEXT(mergedcleandataset[[#This Row],[dteday]],"yyyy")</f>
        <v>2011</v>
      </c>
      <c r="E754">
        <v>2</v>
      </c>
      <c r="F754">
        <v>3</v>
      </c>
      <c r="G754" t="b">
        <v>0</v>
      </c>
      <c r="H754">
        <v>5</v>
      </c>
      <c r="I754">
        <v>2</v>
      </c>
      <c r="J754">
        <v>0.14000000000000001</v>
      </c>
      <c r="K754">
        <v>0.16669999999999999</v>
      </c>
      <c r="L754">
        <v>0.63</v>
      </c>
      <c r="M754">
        <v>0.1045</v>
      </c>
      <c r="N754">
        <v>0</v>
      </c>
      <c r="O754">
        <v>1</v>
      </c>
      <c r="P754">
        <v>1</v>
      </c>
      <c r="Q754" s="2">
        <f>DATE(mergedcleandataset[[#This Row],[yr]],mergedcleandataset[[#This Row],[mnth]],mergedcleandataset[[#This Row],[day]])</f>
        <v>40578</v>
      </c>
      <c r="R754">
        <f>DAY(mergedcleandataset[[#This Row],[dteday]])</f>
        <v>4</v>
      </c>
      <c r="S754" t="str">
        <f>IF(mergedcleandataset[[#This Row],[weekday]]&gt;=5,"Yes","No")</f>
        <v>Yes</v>
      </c>
      <c r="T754" t="b">
        <f>ISBLANK(mergedcleandataset[[#This Row],[atemp]])</f>
        <v>0</v>
      </c>
      <c r="U754" t="str">
        <f t="shared" si="11"/>
        <v>Spring</v>
      </c>
      <c r="V754" t="str">
        <f>TEXT(mergedcleandataset[[#This Row],[date]],"dddd")</f>
        <v>Friday</v>
      </c>
      <c r="W75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55" spans="1:23" x14ac:dyDescent="0.25">
      <c r="A755">
        <v>763</v>
      </c>
      <c r="B755" s="1">
        <v>40578</v>
      </c>
      <c r="C755">
        <v>1</v>
      </c>
      <c r="D755" t="str">
        <f>TEXT(mergedcleandataset[[#This Row],[dteday]],"yyyy")</f>
        <v>2011</v>
      </c>
      <c r="E755">
        <v>2</v>
      </c>
      <c r="F755">
        <v>5</v>
      </c>
      <c r="G755" t="b">
        <v>0</v>
      </c>
      <c r="H755">
        <v>5</v>
      </c>
      <c r="I755">
        <v>2</v>
      </c>
      <c r="J755">
        <v>0.14000000000000001</v>
      </c>
      <c r="K755">
        <v>0.1515</v>
      </c>
      <c r="L755">
        <v>0.63</v>
      </c>
      <c r="M755">
        <v>0.1343</v>
      </c>
      <c r="N755">
        <v>0</v>
      </c>
      <c r="O755">
        <v>7</v>
      </c>
      <c r="P755">
        <v>7</v>
      </c>
      <c r="Q755" s="2">
        <f>DATE(mergedcleandataset[[#This Row],[yr]],mergedcleandataset[[#This Row],[mnth]],mergedcleandataset[[#This Row],[day]])</f>
        <v>40578</v>
      </c>
      <c r="R755">
        <f>DAY(mergedcleandataset[[#This Row],[dteday]])</f>
        <v>4</v>
      </c>
      <c r="S755" t="str">
        <f>IF(mergedcleandataset[[#This Row],[weekday]]&gt;=5,"Yes","No")</f>
        <v>Yes</v>
      </c>
      <c r="T755" t="b">
        <f>ISBLANK(mergedcleandataset[[#This Row],[atemp]])</f>
        <v>0</v>
      </c>
      <c r="U755" t="str">
        <f t="shared" si="11"/>
        <v>Spring</v>
      </c>
      <c r="V755" t="str">
        <f>TEXT(mergedcleandataset[[#This Row],[date]],"dddd")</f>
        <v>Friday</v>
      </c>
      <c r="W75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56" spans="1:23" x14ac:dyDescent="0.25">
      <c r="A756">
        <v>764</v>
      </c>
      <c r="B756" s="1">
        <v>40578</v>
      </c>
      <c r="C756">
        <v>1</v>
      </c>
      <c r="D756" t="str">
        <f>TEXT(mergedcleandataset[[#This Row],[dteday]],"yyyy")</f>
        <v>2011</v>
      </c>
      <c r="E756">
        <v>2</v>
      </c>
      <c r="F756">
        <v>6</v>
      </c>
      <c r="G756" t="b">
        <v>0</v>
      </c>
      <c r="H756">
        <v>5</v>
      </c>
      <c r="I756">
        <v>2</v>
      </c>
      <c r="J756">
        <v>0.16</v>
      </c>
      <c r="K756">
        <v>0.2273</v>
      </c>
      <c r="L756">
        <v>0.55000000000000004</v>
      </c>
      <c r="M756">
        <v>0</v>
      </c>
      <c r="N756">
        <v>2</v>
      </c>
      <c r="O756">
        <v>26</v>
      </c>
      <c r="P756">
        <v>28</v>
      </c>
      <c r="Q756" s="2">
        <f>DATE(mergedcleandataset[[#This Row],[yr]],mergedcleandataset[[#This Row],[mnth]],mergedcleandataset[[#This Row],[day]])</f>
        <v>40578</v>
      </c>
      <c r="R756">
        <f>DAY(mergedcleandataset[[#This Row],[dteday]])</f>
        <v>4</v>
      </c>
      <c r="S756" t="str">
        <f>IF(mergedcleandataset[[#This Row],[weekday]]&gt;=5,"Yes","No")</f>
        <v>Yes</v>
      </c>
      <c r="T756" t="b">
        <f>ISBLANK(mergedcleandataset[[#This Row],[atemp]])</f>
        <v>0</v>
      </c>
      <c r="U756" t="str">
        <f t="shared" si="11"/>
        <v>Spring</v>
      </c>
      <c r="V756" t="str">
        <f>TEXT(mergedcleandataset[[#This Row],[date]],"dddd")</f>
        <v>Friday</v>
      </c>
      <c r="W75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57" spans="1:23" x14ac:dyDescent="0.25">
      <c r="A757">
        <v>765</v>
      </c>
      <c r="B757" s="1">
        <v>40578</v>
      </c>
      <c r="C757">
        <v>1</v>
      </c>
      <c r="D757" t="str">
        <f>TEXT(mergedcleandataset[[#This Row],[dteday]],"yyyy")</f>
        <v>2011</v>
      </c>
      <c r="E757">
        <v>2</v>
      </c>
      <c r="F757">
        <v>7</v>
      </c>
      <c r="G757" t="b">
        <v>0</v>
      </c>
      <c r="H757">
        <v>5</v>
      </c>
      <c r="I757">
        <v>1</v>
      </c>
      <c r="J757">
        <v>0.14000000000000001</v>
      </c>
      <c r="K757">
        <v>0.21210000000000001</v>
      </c>
      <c r="L757">
        <v>0.59</v>
      </c>
      <c r="M757">
        <v>0</v>
      </c>
      <c r="N757">
        <v>0</v>
      </c>
      <c r="O757">
        <v>87</v>
      </c>
      <c r="P757">
        <v>87</v>
      </c>
      <c r="Q757" s="2">
        <f>DATE(mergedcleandataset[[#This Row],[yr]],mergedcleandataset[[#This Row],[mnth]],mergedcleandataset[[#This Row],[day]])</f>
        <v>40578</v>
      </c>
      <c r="R757">
        <f>DAY(mergedcleandataset[[#This Row],[dteday]])</f>
        <v>4</v>
      </c>
      <c r="S757" t="str">
        <f>IF(mergedcleandataset[[#This Row],[weekday]]&gt;=5,"Yes","No")</f>
        <v>Yes</v>
      </c>
      <c r="T757" t="b">
        <f>ISBLANK(mergedcleandataset[[#This Row],[atemp]])</f>
        <v>0</v>
      </c>
      <c r="U757" t="str">
        <f t="shared" si="11"/>
        <v>Spring</v>
      </c>
      <c r="V757" t="str">
        <f>TEXT(mergedcleandataset[[#This Row],[date]],"dddd")</f>
        <v>Friday</v>
      </c>
      <c r="W75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58" spans="1:23" x14ac:dyDescent="0.25">
      <c r="A758">
        <v>766</v>
      </c>
      <c r="B758" s="1">
        <v>40578</v>
      </c>
      <c r="C758">
        <v>1</v>
      </c>
      <c r="D758" t="str">
        <f>TEXT(mergedcleandataset[[#This Row],[dteday]],"yyyy")</f>
        <v>2011</v>
      </c>
      <c r="E758">
        <v>2</v>
      </c>
      <c r="F758">
        <v>8</v>
      </c>
      <c r="G758" t="b">
        <v>0</v>
      </c>
      <c r="H758">
        <v>5</v>
      </c>
      <c r="I758">
        <v>1</v>
      </c>
      <c r="J758">
        <v>0.14000000000000001</v>
      </c>
      <c r="K758">
        <v>0.1515</v>
      </c>
      <c r="L758">
        <v>0.74</v>
      </c>
      <c r="M758">
        <v>0.1343</v>
      </c>
      <c r="N758">
        <v>3</v>
      </c>
      <c r="O758">
        <v>217</v>
      </c>
      <c r="P758">
        <v>220</v>
      </c>
      <c r="Q758" s="2">
        <f>DATE(mergedcleandataset[[#This Row],[yr]],mergedcleandataset[[#This Row],[mnth]],mergedcleandataset[[#This Row],[day]])</f>
        <v>40578</v>
      </c>
      <c r="R758">
        <f>DAY(mergedcleandataset[[#This Row],[dteday]])</f>
        <v>4</v>
      </c>
      <c r="S758" t="str">
        <f>IF(mergedcleandataset[[#This Row],[weekday]]&gt;=5,"Yes","No")</f>
        <v>Yes</v>
      </c>
      <c r="T758" t="b">
        <f>ISBLANK(mergedcleandataset[[#This Row],[atemp]])</f>
        <v>0</v>
      </c>
      <c r="U758" t="str">
        <f t="shared" si="11"/>
        <v>Spring</v>
      </c>
      <c r="V758" t="str">
        <f>TEXT(mergedcleandataset[[#This Row],[date]],"dddd")</f>
        <v>Friday</v>
      </c>
      <c r="W7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59" spans="1:23" x14ac:dyDescent="0.25">
      <c r="A759">
        <v>767</v>
      </c>
      <c r="B759" s="1">
        <v>40578</v>
      </c>
      <c r="C759">
        <v>1</v>
      </c>
      <c r="D759" t="str">
        <f>TEXT(mergedcleandataset[[#This Row],[dteday]],"yyyy")</f>
        <v>2011</v>
      </c>
      <c r="E759">
        <v>2</v>
      </c>
      <c r="F759">
        <v>9</v>
      </c>
      <c r="G759" t="b">
        <v>0</v>
      </c>
      <c r="H759">
        <v>5</v>
      </c>
      <c r="I759">
        <v>2</v>
      </c>
      <c r="J759">
        <v>0.16</v>
      </c>
      <c r="K759">
        <v>0.18179999999999999</v>
      </c>
      <c r="L759">
        <v>0.8</v>
      </c>
      <c r="M759">
        <v>0.1343</v>
      </c>
      <c r="N759">
        <v>3</v>
      </c>
      <c r="O759">
        <v>124</v>
      </c>
      <c r="P759">
        <v>127</v>
      </c>
      <c r="Q759" s="2">
        <f>DATE(mergedcleandataset[[#This Row],[yr]],mergedcleandataset[[#This Row],[mnth]],mergedcleandataset[[#This Row],[day]])</f>
        <v>40578</v>
      </c>
      <c r="R759">
        <f>DAY(mergedcleandataset[[#This Row],[dteday]])</f>
        <v>4</v>
      </c>
      <c r="S759" t="str">
        <f>IF(mergedcleandataset[[#This Row],[weekday]]&gt;=5,"Yes","No")</f>
        <v>Yes</v>
      </c>
      <c r="T759" t="b">
        <f>ISBLANK(mergedcleandataset[[#This Row],[atemp]])</f>
        <v>0</v>
      </c>
      <c r="U759" t="str">
        <f t="shared" si="11"/>
        <v>Spring</v>
      </c>
      <c r="V759" t="str">
        <f>TEXT(mergedcleandataset[[#This Row],[date]],"dddd")</f>
        <v>Friday</v>
      </c>
      <c r="W75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0" spans="1:23" x14ac:dyDescent="0.25">
      <c r="A760">
        <v>768</v>
      </c>
      <c r="B760" s="1">
        <v>40578</v>
      </c>
      <c r="C760">
        <v>1</v>
      </c>
      <c r="D760" t="str">
        <f>TEXT(mergedcleandataset[[#This Row],[dteday]],"yyyy")</f>
        <v>2011</v>
      </c>
      <c r="E760">
        <v>2</v>
      </c>
      <c r="F760">
        <v>10</v>
      </c>
      <c r="G760" t="b">
        <v>0</v>
      </c>
      <c r="H760">
        <v>5</v>
      </c>
      <c r="I760">
        <v>2</v>
      </c>
      <c r="J760">
        <v>0.2</v>
      </c>
      <c r="K760">
        <v>0.21210000000000001</v>
      </c>
      <c r="L760">
        <v>0.51</v>
      </c>
      <c r="M760">
        <v>0.1343</v>
      </c>
      <c r="N760">
        <v>5</v>
      </c>
      <c r="O760">
        <v>46</v>
      </c>
      <c r="P760">
        <v>51</v>
      </c>
      <c r="Q760" s="2">
        <f>DATE(mergedcleandataset[[#This Row],[yr]],mergedcleandataset[[#This Row],[mnth]],mergedcleandataset[[#This Row],[day]])</f>
        <v>40578</v>
      </c>
      <c r="R760">
        <f>DAY(mergedcleandataset[[#This Row],[dteday]])</f>
        <v>4</v>
      </c>
      <c r="S760" t="str">
        <f>IF(mergedcleandataset[[#This Row],[weekday]]&gt;=5,"Yes","No")</f>
        <v>Yes</v>
      </c>
      <c r="T760" t="b">
        <f>ISBLANK(mergedcleandataset[[#This Row],[atemp]])</f>
        <v>0</v>
      </c>
      <c r="U760" t="str">
        <f t="shared" si="11"/>
        <v>Spring</v>
      </c>
      <c r="V760" t="str">
        <f>TEXT(mergedcleandataset[[#This Row],[date]],"dddd")</f>
        <v>Friday</v>
      </c>
      <c r="W76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1" spans="1:23" x14ac:dyDescent="0.25">
      <c r="A761">
        <v>769</v>
      </c>
      <c r="B761" s="1">
        <v>40578</v>
      </c>
      <c r="C761">
        <v>1</v>
      </c>
      <c r="D761" t="str">
        <f>TEXT(mergedcleandataset[[#This Row],[dteday]],"yyyy")</f>
        <v>2011</v>
      </c>
      <c r="E761">
        <v>2</v>
      </c>
      <c r="F761">
        <v>11</v>
      </c>
      <c r="G761" t="b">
        <v>0</v>
      </c>
      <c r="H761">
        <v>5</v>
      </c>
      <c r="I761">
        <v>1</v>
      </c>
      <c r="J761">
        <v>0.22</v>
      </c>
      <c r="K761">
        <v>0.2273</v>
      </c>
      <c r="L761">
        <v>0.51</v>
      </c>
      <c r="M761">
        <v>0.16420000000000001</v>
      </c>
      <c r="N761">
        <v>3</v>
      </c>
      <c r="O761">
        <v>61</v>
      </c>
      <c r="P761">
        <v>64</v>
      </c>
      <c r="Q761" s="2">
        <f>DATE(mergedcleandataset[[#This Row],[yr]],mergedcleandataset[[#This Row],[mnth]],mergedcleandataset[[#This Row],[day]])</f>
        <v>40578</v>
      </c>
      <c r="R761">
        <f>DAY(mergedcleandataset[[#This Row],[dteday]])</f>
        <v>4</v>
      </c>
      <c r="S761" t="str">
        <f>IF(mergedcleandataset[[#This Row],[weekday]]&gt;=5,"Yes","No")</f>
        <v>Yes</v>
      </c>
      <c r="T761" t="b">
        <f>ISBLANK(mergedcleandataset[[#This Row],[atemp]])</f>
        <v>0</v>
      </c>
      <c r="U761" t="str">
        <f t="shared" si="11"/>
        <v>Spring</v>
      </c>
      <c r="V761" t="str">
        <f>TEXT(mergedcleandataset[[#This Row],[date]],"dddd")</f>
        <v>Friday</v>
      </c>
      <c r="W7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62" spans="1:23" x14ac:dyDescent="0.25">
      <c r="A762">
        <v>770</v>
      </c>
      <c r="B762" s="1">
        <v>40578</v>
      </c>
      <c r="C762">
        <v>1</v>
      </c>
      <c r="D762" t="str">
        <f>TEXT(mergedcleandataset[[#This Row],[dteday]],"yyyy")</f>
        <v>2011</v>
      </c>
      <c r="E762">
        <v>2</v>
      </c>
      <c r="F762">
        <v>12</v>
      </c>
      <c r="G762" t="b">
        <v>0</v>
      </c>
      <c r="H762">
        <v>5</v>
      </c>
      <c r="I762">
        <v>2</v>
      </c>
      <c r="J762">
        <v>0.24</v>
      </c>
      <c r="K762">
        <v>0.2424</v>
      </c>
      <c r="L762">
        <v>0.48</v>
      </c>
      <c r="M762">
        <v>0.16420000000000001</v>
      </c>
      <c r="N762">
        <v>8</v>
      </c>
      <c r="O762">
        <v>78</v>
      </c>
      <c r="P762">
        <v>86</v>
      </c>
      <c r="Q762" s="2">
        <f>DATE(mergedcleandataset[[#This Row],[yr]],mergedcleandataset[[#This Row],[mnth]],mergedcleandataset[[#This Row],[day]])</f>
        <v>40578</v>
      </c>
      <c r="R762">
        <f>DAY(mergedcleandataset[[#This Row],[dteday]])</f>
        <v>4</v>
      </c>
      <c r="S762" t="str">
        <f>IF(mergedcleandataset[[#This Row],[weekday]]&gt;=5,"Yes","No")</f>
        <v>Yes</v>
      </c>
      <c r="T762" t="b">
        <f>ISBLANK(mergedcleandataset[[#This Row],[atemp]])</f>
        <v>0</v>
      </c>
      <c r="U762" t="str">
        <f t="shared" si="11"/>
        <v>Spring</v>
      </c>
      <c r="V762" t="str">
        <f>TEXT(mergedcleandataset[[#This Row],[date]],"dddd")</f>
        <v>Friday</v>
      </c>
      <c r="W76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3" spans="1:23" x14ac:dyDescent="0.25">
      <c r="A763">
        <v>771</v>
      </c>
      <c r="B763" s="1">
        <v>40578</v>
      </c>
      <c r="C763">
        <v>1</v>
      </c>
      <c r="D763" t="str">
        <f>TEXT(mergedcleandataset[[#This Row],[dteday]],"yyyy")</f>
        <v>2011</v>
      </c>
      <c r="E763">
        <v>2</v>
      </c>
      <c r="F763">
        <v>13</v>
      </c>
      <c r="G763" t="b">
        <v>0</v>
      </c>
      <c r="H763">
        <v>5</v>
      </c>
      <c r="I763">
        <v>2</v>
      </c>
      <c r="J763">
        <v>0.26</v>
      </c>
      <c r="K763">
        <v>0.2576</v>
      </c>
      <c r="L763">
        <v>0.5</v>
      </c>
      <c r="M763">
        <v>0.22389999999999999</v>
      </c>
      <c r="N763">
        <v>9</v>
      </c>
      <c r="O763">
        <v>73</v>
      </c>
      <c r="P763">
        <v>82</v>
      </c>
      <c r="Q763" s="2">
        <f>DATE(mergedcleandataset[[#This Row],[yr]],mergedcleandataset[[#This Row],[mnth]],mergedcleandataset[[#This Row],[day]])</f>
        <v>40578</v>
      </c>
      <c r="R763">
        <f>DAY(mergedcleandataset[[#This Row],[dteday]])</f>
        <v>4</v>
      </c>
      <c r="S763" t="str">
        <f>IF(mergedcleandataset[[#This Row],[weekday]]&gt;=5,"Yes","No")</f>
        <v>Yes</v>
      </c>
      <c r="T763" t="b">
        <f>ISBLANK(mergedcleandataset[[#This Row],[atemp]])</f>
        <v>0</v>
      </c>
      <c r="U763" t="str">
        <f t="shared" si="11"/>
        <v>Spring</v>
      </c>
      <c r="V763" t="str">
        <f>TEXT(mergedcleandataset[[#This Row],[date]],"dddd")</f>
        <v>Friday</v>
      </c>
      <c r="W76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4" spans="1:23" x14ac:dyDescent="0.25">
      <c r="A764">
        <v>772</v>
      </c>
      <c r="B764" s="1">
        <v>40578</v>
      </c>
      <c r="C764">
        <v>1</v>
      </c>
      <c r="D764" t="str">
        <f>TEXT(mergedcleandataset[[#This Row],[dteday]],"yyyy")</f>
        <v>2011</v>
      </c>
      <c r="E764">
        <v>2</v>
      </c>
      <c r="F764">
        <v>14</v>
      </c>
      <c r="G764" t="b">
        <v>0</v>
      </c>
      <c r="H764">
        <v>5</v>
      </c>
      <c r="I764">
        <v>2</v>
      </c>
      <c r="J764">
        <v>0.28000000000000003</v>
      </c>
      <c r="K764">
        <v>0.2727</v>
      </c>
      <c r="L764">
        <v>0.45</v>
      </c>
      <c r="M764">
        <v>0.16420000000000001</v>
      </c>
      <c r="N764">
        <v>15</v>
      </c>
      <c r="O764">
        <v>76</v>
      </c>
      <c r="P764">
        <v>91</v>
      </c>
      <c r="Q764" s="2">
        <f>DATE(mergedcleandataset[[#This Row],[yr]],mergedcleandataset[[#This Row],[mnth]],mergedcleandataset[[#This Row],[day]])</f>
        <v>40578</v>
      </c>
      <c r="R764">
        <f>DAY(mergedcleandataset[[#This Row],[dteday]])</f>
        <v>4</v>
      </c>
      <c r="S764" t="str">
        <f>IF(mergedcleandataset[[#This Row],[weekday]]&gt;=5,"Yes","No")</f>
        <v>Yes</v>
      </c>
      <c r="T764" t="b">
        <f>ISBLANK(mergedcleandataset[[#This Row],[atemp]])</f>
        <v>0</v>
      </c>
      <c r="U764" t="str">
        <f t="shared" si="11"/>
        <v>Spring</v>
      </c>
      <c r="V764" t="str">
        <f>TEXT(mergedcleandataset[[#This Row],[date]],"dddd")</f>
        <v>Friday</v>
      </c>
      <c r="W76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5" spans="1:23" x14ac:dyDescent="0.25">
      <c r="A765">
        <v>773</v>
      </c>
      <c r="B765" s="1">
        <v>40578</v>
      </c>
      <c r="C765">
        <v>1</v>
      </c>
      <c r="D765" t="str">
        <f>TEXT(mergedcleandataset[[#This Row],[dteday]],"yyyy")</f>
        <v>2011</v>
      </c>
      <c r="E765">
        <v>2</v>
      </c>
      <c r="F765">
        <v>15</v>
      </c>
      <c r="G765" t="b">
        <v>0</v>
      </c>
      <c r="H765">
        <v>5</v>
      </c>
      <c r="I765">
        <v>2</v>
      </c>
      <c r="J765">
        <v>0.28000000000000003</v>
      </c>
      <c r="K765">
        <v>0.2727</v>
      </c>
      <c r="L765">
        <v>0.48</v>
      </c>
      <c r="M765">
        <v>0.25369999999999998</v>
      </c>
      <c r="N765">
        <v>9</v>
      </c>
      <c r="O765">
        <v>81</v>
      </c>
      <c r="P765">
        <v>90</v>
      </c>
      <c r="Q765" s="2">
        <f>DATE(mergedcleandataset[[#This Row],[yr]],mergedcleandataset[[#This Row],[mnth]],mergedcleandataset[[#This Row],[day]])</f>
        <v>40578</v>
      </c>
      <c r="R765">
        <f>DAY(mergedcleandataset[[#This Row],[dteday]])</f>
        <v>4</v>
      </c>
      <c r="S765" t="str">
        <f>IF(mergedcleandataset[[#This Row],[weekday]]&gt;=5,"Yes","No")</f>
        <v>Yes</v>
      </c>
      <c r="T765" t="b">
        <f>ISBLANK(mergedcleandataset[[#This Row],[atemp]])</f>
        <v>0</v>
      </c>
      <c r="U765" t="str">
        <f t="shared" si="11"/>
        <v>Spring</v>
      </c>
      <c r="V765" t="str">
        <f>TEXT(mergedcleandataset[[#This Row],[date]],"dddd")</f>
        <v>Friday</v>
      </c>
      <c r="W76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6" spans="1:23" x14ac:dyDescent="0.25">
      <c r="A766">
        <v>774</v>
      </c>
      <c r="B766" s="1">
        <v>40578</v>
      </c>
      <c r="C766">
        <v>1</v>
      </c>
      <c r="D766" t="str">
        <f>TEXT(mergedcleandataset[[#This Row],[dteday]],"yyyy")</f>
        <v>2011</v>
      </c>
      <c r="E766">
        <v>2</v>
      </c>
      <c r="F766">
        <v>16</v>
      </c>
      <c r="G766" t="b">
        <v>0</v>
      </c>
      <c r="H766">
        <v>5</v>
      </c>
      <c r="I766">
        <v>2</v>
      </c>
      <c r="J766">
        <v>0.3</v>
      </c>
      <c r="K766">
        <v>0.28789999999999999</v>
      </c>
      <c r="L766">
        <v>0.42</v>
      </c>
      <c r="M766">
        <v>0.22389999999999999</v>
      </c>
      <c r="N766">
        <v>8</v>
      </c>
      <c r="O766">
        <v>91</v>
      </c>
      <c r="P766">
        <v>99</v>
      </c>
      <c r="Q766" s="2">
        <f>DATE(mergedcleandataset[[#This Row],[yr]],mergedcleandataset[[#This Row],[mnth]],mergedcleandataset[[#This Row],[day]])</f>
        <v>40578</v>
      </c>
      <c r="R766">
        <f>DAY(mergedcleandataset[[#This Row],[dteday]])</f>
        <v>4</v>
      </c>
      <c r="S766" t="str">
        <f>IF(mergedcleandataset[[#This Row],[weekday]]&gt;=5,"Yes","No")</f>
        <v>Yes</v>
      </c>
      <c r="T766" t="b">
        <f>ISBLANK(mergedcleandataset[[#This Row],[atemp]])</f>
        <v>0</v>
      </c>
      <c r="U766" t="str">
        <f t="shared" si="11"/>
        <v>Spring</v>
      </c>
      <c r="V766" t="str">
        <f>TEXT(mergedcleandataset[[#This Row],[date]],"dddd")</f>
        <v>Friday</v>
      </c>
      <c r="W76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7" spans="1:23" x14ac:dyDescent="0.25">
      <c r="A767">
        <v>775</v>
      </c>
      <c r="B767" s="1">
        <v>40578</v>
      </c>
      <c r="C767">
        <v>1</v>
      </c>
      <c r="D767" t="str">
        <f>TEXT(mergedcleandataset[[#This Row],[dteday]],"yyyy")</f>
        <v>2011</v>
      </c>
      <c r="E767">
        <v>2</v>
      </c>
      <c r="F767">
        <v>17</v>
      </c>
      <c r="G767" t="b">
        <v>0</v>
      </c>
      <c r="H767">
        <v>5</v>
      </c>
      <c r="I767">
        <v>2</v>
      </c>
      <c r="J767">
        <v>0.26</v>
      </c>
      <c r="K767">
        <v>0.2727</v>
      </c>
      <c r="L767">
        <v>0.56000000000000005</v>
      </c>
      <c r="M767">
        <v>0.1343</v>
      </c>
      <c r="N767">
        <v>10</v>
      </c>
      <c r="O767">
        <v>195</v>
      </c>
      <c r="P767">
        <v>205</v>
      </c>
      <c r="Q767" s="2">
        <f>DATE(mergedcleandataset[[#This Row],[yr]],mergedcleandataset[[#This Row],[mnth]],mergedcleandataset[[#This Row],[day]])</f>
        <v>40578</v>
      </c>
      <c r="R767">
        <f>DAY(mergedcleandataset[[#This Row],[dteday]])</f>
        <v>4</v>
      </c>
      <c r="S767" t="str">
        <f>IF(mergedcleandataset[[#This Row],[weekday]]&gt;=5,"Yes","No")</f>
        <v>Yes</v>
      </c>
      <c r="T767" t="b">
        <f>ISBLANK(mergedcleandataset[[#This Row],[atemp]])</f>
        <v>0</v>
      </c>
      <c r="U767" t="str">
        <f t="shared" si="11"/>
        <v>Spring</v>
      </c>
      <c r="V767" t="str">
        <f>TEXT(mergedcleandataset[[#This Row],[date]],"dddd")</f>
        <v>Friday</v>
      </c>
      <c r="W76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8" spans="1:23" x14ac:dyDescent="0.25">
      <c r="A768">
        <v>776</v>
      </c>
      <c r="B768" s="1">
        <v>40578</v>
      </c>
      <c r="C768">
        <v>1</v>
      </c>
      <c r="D768" t="str">
        <f>TEXT(mergedcleandataset[[#This Row],[dteday]],"yyyy")</f>
        <v>2011</v>
      </c>
      <c r="E768">
        <v>2</v>
      </c>
      <c r="F768">
        <v>18</v>
      </c>
      <c r="G768" t="b">
        <v>0</v>
      </c>
      <c r="H768">
        <v>5</v>
      </c>
      <c r="I768">
        <v>2</v>
      </c>
      <c r="J768">
        <v>0.24</v>
      </c>
      <c r="K768">
        <v>0.2576</v>
      </c>
      <c r="L768">
        <v>0.6</v>
      </c>
      <c r="M768">
        <v>0.1045</v>
      </c>
      <c r="N768">
        <v>3</v>
      </c>
      <c r="O768">
        <v>152</v>
      </c>
      <c r="P768">
        <v>155</v>
      </c>
      <c r="Q768" s="2">
        <f>DATE(mergedcleandataset[[#This Row],[yr]],mergedcleandataset[[#This Row],[mnth]],mergedcleandataset[[#This Row],[day]])</f>
        <v>40578</v>
      </c>
      <c r="R768">
        <f>DAY(mergedcleandataset[[#This Row],[dteday]])</f>
        <v>4</v>
      </c>
      <c r="S768" t="str">
        <f>IF(mergedcleandataset[[#This Row],[weekday]]&gt;=5,"Yes","No")</f>
        <v>Yes</v>
      </c>
      <c r="T768" t="b">
        <f>ISBLANK(mergedcleandataset[[#This Row],[atemp]])</f>
        <v>0</v>
      </c>
      <c r="U768" t="str">
        <f t="shared" si="11"/>
        <v>Spring</v>
      </c>
      <c r="V768" t="str">
        <f>TEXT(mergedcleandataset[[#This Row],[date]],"dddd")</f>
        <v>Friday</v>
      </c>
      <c r="W76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69" spans="1:23" x14ac:dyDescent="0.25">
      <c r="A769">
        <v>777</v>
      </c>
      <c r="B769" s="1">
        <v>40578</v>
      </c>
      <c r="C769">
        <v>1</v>
      </c>
      <c r="D769" t="str">
        <f>TEXT(mergedcleandataset[[#This Row],[dteday]],"yyyy")</f>
        <v>2011</v>
      </c>
      <c r="E769">
        <v>2</v>
      </c>
      <c r="F769">
        <v>19</v>
      </c>
      <c r="G769" t="b">
        <v>0</v>
      </c>
      <c r="H769">
        <v>5</v>
      </c>
      <c r="I769">
        <v>2</v>
      </c>
      <c r="J769">
        <v>0.24</v>
      </c>
      <c r="K769">
        <v>0.2424</v>
      </c>
      <c r="L769">
        <v>0.65</v>
      </c>
      <c r="M769">
        <v>0.1343</v>
      </c>
      <c r="N769">
        <v>1</v>
      </c>
      <c r="O769">
        <v>102</v>
      </c>
      <c r="P769">
        <v>103</v>
      </c>
      <c r="Q769" s="2">
        <f>DATE(mergedcleandataset[[#This Row],[yr]],mergedcleandataset[[#This Row],[mnth]],mergedcleandataset[[#This Row],[day]])</f>
        <v>40578</v>
      </c>
      <c r="R769">
        <f>DAY(mergedcleandataset[[#This Row],[dteday]])</f>
        <v>4</v>
      </c>
      <c r="S769" t="str">
        <f>IF(mergedcleandataset[[#This Row],[weekday]]&gt;=5,"Yes","No")</f>
        <v>Yes</v>
      </c>
      <c r="T769" t="b">
        <f>ISBLANK(mergedcleandataset[[#This Row],[atemp]])</f>
        <v>0</v>
      </c>
      <c r="U769" t="str">
        <f t="shared" si="11"/>
        <v>Spring</v>
      </c>
      <c r="V769" t="str">
        <f>TEXT(mergedcleandataset[[#This Row],[date]],"dddd")</f>
        <v>Friday</v>
      </c>
      <c r="W76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0" spans="1:23" x14ac:dyDescent="0.25">
      <c r="A770">
        <v>778</v>
      </c>
      <c r="B770" s="1">
        <v>40578</v>
      </c>
      <c r="C770">
        <v>1</v>
      </c>
      <c r="D770" t="str">
        <f>TEXT(mergedcleandataset[[#This Row],[dteday]],"yyyy")</f>
        <v>2011</v>
      </c>
      <c r="E770">
        <v>2</v>
      </c>
      <c r="F770">
        <v>20</v>
      </c>
      <c r="G770" t="b">
        <v>0</v>
      </c>
      <c r="H770">
        <v>5</v>
      </c>
      <c r="I770">
        <v>2</v>
      </c>
      <c r="J770">
        <v>0.24</v>
      </c>
      <c r="K770">
        <v>0.2424</v>
      </c>
      <c r="L770">
        <v>0.65</v>
      </c>
      <c r="M770">
        <v>0.16420000000000001</v>
      </c>
      <c r="N770">
        <v>2</v>
      </c>
      <c r="O770">
        <v>69</v>
      </c>
      <c r="P770">
        <v>71</v>
      </c>
      <c r="Q770" s="2">
        <f>DATE(mergedcleandataset[[#This Row],[yr]],mergedcleandataset[[#This Row],[mnth]],mergedcleandataset[[#This Row],[day]])</f>
        <v>40578</v>
      </c>
      <c r="R770">
        <f>DAY(mergedcleandataset[[#This Row],[dteday]])</f>
        <v>4</v>
      </c>
      <c r="S770" t="str">
        <f>IF(mergedcleandataset[[#This Row],[weekday]]&gt;=5,"Yes","No")</f>
        <v>Yes</v>
      </c>
      <c r="T770" t="b">
        <f>ISBLANK(mergedcleandataset[[#This Row],[atemp]])</f>
        <v>0</v>
      </c>
      <c r="U770" t="str">
        <f t="shared" ref="U770:U833" si="12">IF(C770=1,"Spring",
IF(C770=2,"Summer",
IF(C770=3,"Fall",
IF(C770=4,"Winter","Unknown"))))</f>
        <v>Spring</v>
      </c>
      <c r="V770" t="str">
        <f>TEXT(mergedcleandataset[[#This Row],[date]],"dddd")</f>
        <v>Friday</v>
      </c>
      <c r="W77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1" spans="1:23" x14ac:dyDescent="0.25">
      <c r="A771">
        <v>779</v>
      </c>
      <c r="B771" s="1">
        <v>40578</v>
      </c>
      <c r="C771">
        <v>1</v>
      </c>
      <c r="D771" t="str">
        <f>TEXT(mergedcleandataset[[#This Row],[dteday]],"yyyy")</f>
        <v>2011</v>
      </c>
      <c r="E771">
        <v>2</v>
      </c>
      <c r="F771">
        <v>21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0.7</v>
      </c>
      <c r="M771">
        <v>0.16420000000000001</v>
      </c>
      <c r="N771">
        <v>2</v>
      </c>
      <c r="O771">
        <v>41</v>
      </c>
      <c r="P771">
        <v>43</v>
      </c>
      <c r="Q771" s="2">
        <f>DATE(mergedcleandataset[[#This Row],[yr]],mergedcleandataset[[#This Row],[mnth]],mergedcleandataset[[#This Row],[day]])</f>
        <v>40578</v>
      </c>
      <c r="R771">
        <f>DAY(mergedcleandataset[[#This Row],[dteday]])</f>
        <v>4</v>
      </c>
      <c r="S771" t="str">
        <f>IF(mergedcleandataset[[#This Row],[weekday]]&gt;=5,"Yes","No")</f>
        <v>Yes</v>
      </c>
      <c r="T771" t="b">
        <f>ISBLANK(mergedcleandataset[[#This Row],[atemp]])</f>
        <v>0</v>
      </c>
      <c r="U771" t="str">
        <f t="shared" si="12"/>
        <v>Spring</v>
      </c>
      <c r="V771" t="str">
        <f>TEXT(mergedcleandataset[[#This Row],[date]],"dddd")</f>
        <v>Friday</v>
      </c>
      <c r="W77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2" spans="1:23" x14ac:dyDescent="0.25">
      <c r="A772">
        <v>780</v>
      </c>
      <c r="B772" s="1">
        <v>40578</v>
      </c>
      <c r="C772">
        <v>1</v>
      </c>
      <c r="D772" t="str">
        <f>TEXT(mergedcleandataset[[#This Row],[dteday]],"yyyy")</f>
        <v>2011</v>
      </c>
      <c r="E772">
        <v>2</v>
      </c>
      <c r="F772">
        <v>22</v>
      </c>
      <c r="G772" t="b">
        <v>0</v>
      </c>
      <c r="H772">
        <v>5</v>
      </c>
      <c r="I772">
        <v>2</v>
      </c>
      <c r="J772">
        <v>0.24</v>
      </c>
      <c r="K772">
        <v>0.2424</v>
      </c>
      <c r="L772">
        <v>0.65</v>
      </c>
      <c r="M772">
        <v>0.16420000000000001</v>
      </c>
      <c r="N772">
        <v>1</v>
      </c>
      <c r="O772">
        <v>45</v>
      </c>
      <c r="P772">
        <v>46</v>
      </c>
      <c r="Q772" s="2">
        <f>DATE(mergedcleandataset[[#This Row],[yr]],mergedcleandataset[[#This Row],[mnth]],mergedcleandataset[[#This Row],[day]])</f>
        <v>40578</v>
      </c>
      <c r="R772">
        <f>DAY(mergedcleandataset[[#This Row],[dteday]])</f>
        <v>4</v>
      </c>
      <c r="S772" t="str">
        <f>IF(mergedcleandataset[[#This Row],[weekday]]&gt;=5,"Yes","No")</f>
        <v>Yes</v>
      </c>
      <c r="T772" t="b">
        <f>ISBLANK(mergedcleandataset[[#This Row],[atemp]])</f>
        <v>0</v>
      </c>
      <c r="U772" t="str">
        <f t="shared" si="12"/>
        <v>Spring</v>
      </c>
      <c r="V772" t="str">
        <f>TEXT(mergedcleandataset[[#This Row],[date]],"dddd")</f>
        <v>Friday</v>
      </c>
      <c r="W77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3" spans="1:23" x14ac:dyDescent="0.25">
      <c r="A773">
        <v>781</v>
      </c>
      <c r="B773" s="1">
        <v>40578</v>
      </c>
      <c r="C773">
        <v>1</v>
      </c>
      <c r="D773" t="str">
        <f>TEXT(mergedcleandataset[[#This Row],[dteday]],"yyyy")</f>
        <v>2011</v>
      </c>
      <c r="E773">
        <v>2</v>
      </c>
      <c r="F773">
        <v>23</v>
      </c>
      <c r="G773" t="b">
        <v>0</v>
      </c>
      <c r="H773">
        <v>5</v>
      </c>
      <c r="I773">
        <v>2</v>
      </c>
      <c r="J773">
        <v>0.24</v>
      </c>
      <c r="K773">
        <v>0.2424</v>
      </c>
      <c r="L773">
        <v>0.7</v>
      </c>
      <c r="M773">
        <v>0.1343</v>
      </c>
      <c r="N773">
        <v>1</v>
      </c>
      <c r="O773">
        <v>30</v>
      </c>
      <c r="P773">
        <v>31</v>
      </c>
      <c r="Q773" s="2">
        <f>DATE(mergedcleandataset[[#This Row],[yr]],mergedcleandataset[[#This Row],[mnth]],mergedcleandataset[[#This Row],[day]])</f>
        <v>40578</v>
      </c>
      <c r="R773">
        <f>DAY(mergedcleandataset[[#This Row],[dteday]])</f>
        <v>4</v>
      </c>
      <c r="S773" t="str">
        <f>IF(mergedcleandataset[[#This Row],[weekday]]&gt;=5,"Yes","No")</f>
        <v>Yes</v>
      </c>
      <c r="T773" t="b">
        <f>ISBLANK(mergedcleandataset[[#This Row],[atemp]])</f>
        <v>0</v>
      </c>
      <c r="U773" t="str">
        <f t="shared" si="12"/>
        <v>Spring</v>
      </c>
      <c r="V773" t="str">
        <f>TEXT(mergedcleandataset[[#This Row],[date]],"dddd")</f>
        <v>Friday</v>
      </c>
      <c r="W77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4" spans="1:23" x14ac:dyDescent="0.25">
      <c r="A774">
        <v>782</v>
      </c>
      <c r="B774" s="1">
        <v>40579</v>
      </c>
      <c r="C774">
        <v>1</v>
      </c>
      <c r="D774" t="str">
        <f>TEXT(mergedcleandataset[[#This Row],[dteday]],"yyyy")</f>
        <v>2011</v>
      </c>
      <c r="E774">
        <v>2</v>
      </c>
      <c r="F774">
        <v>0</v>
      </c>
      <c r="G774" t="b">
        <v>0</v>
      </c>
      <c r="H774">
        <v>6</v>
      </c>
      <c r="I774">
        <v>2</v>
      </c>
      <c r="J774">
        <v>0.24</v>
      </c>
      <c r="K774">
        <v>0.2424</v>
      </c>
      <c r="L774">
        <v>0.7</v>
      </c>
      <c r="M774">
        <v>0.16420000000000001</v>
      </c>
      <c r="N774">
        <v>3</v>
      </c>
      <c r="O774">
        <v>36</v>
      </c>
      <c r="P774">
        <v>39</v>
      </c>
      <c r="Q774" s="2">
        <f>DATE(mergedcleandataset[[#This Row],[yr]],mergedcleandataset[[#This Row],[mnth]],mergedcleandataset[[#This Row],[day]])</f>
        <v>40579</v>
      </c>
      <c r="R774">
        <f>DAY(mergedcleandataset[[#This Row],[dteday]])</f>
        <v>5</v>
      </c>
      <c r="S774" t="str">
        <f>IF(mergedcleandataset[[#This Row],[weekday]]&gt;=5,"Yes","No")</f>
        <v>Yes</v>
      </c>
      <c r="T774" t="b">
        <f>ISBLANK(mergedcleandataset[[#This Row],[atemp]])</f>
        <v>0</v>
      </c>
      <c r="U774" t="str">
        <f t="shared" si="12"/>
        <v>Spring</v>
      </c>
      <c r="V774" t="str">
        <f>TEXT(mergedcleandataset[[#This Row],[date]],"dddd")</f>
        <v>Saturday</v>
      </c>
      <c r="W77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5" spans="1:23" x14ac:dyDescent="0.25">
      <c r="A775">
        <v>783</v>
      </c>
      <c r="B775" s="1">
        <v>40579</v>
      </c>
      <c r="C775">
        <v>1</v>
      </c>
      <c r="D775" t="str">
        <f>TEXT(mergedcleandataset[[#This Row],[dteday]],"yyyy")</f>
        <v>2011</v>
      </c>
      <c r="E775">
        <v>2</v>
      </c>
      <c r="F775">
        <v>1</v>
      </c>
      <c r="G775" t="b">
        <v>0</v>
      </c>
      <c r="H775">
        <v>6</v>
      </c>
      <c r="I775">
        <v>2</v>
      </c>
      <c r="J775">
        <v>0.24</v>
      </c>
      <c r="K775">
        <v>0.2424</v>
      </c>
      <c r="L775">
        <v>0.65</v>
      </c>
      <c r="M775">
        <v>0.16420000000000001</v>
      </c>
      <c r="N775">
        <v>1</v>
      </c>
      <c r="O775">
        <v>17</v>
      </c>
      <c r="P775">
        <v>18</v>
      </c>
      <c r="Q775" s="2">
        <f>DATE(mergedcleandataset[[#This Row],[yr]],mergedcleandataset[[#This Row],[mnth]],mergedcleandataset[[#This Row],[day]])</f>
        <v>40579</v>
      </c>
      <c r="R775">
        <f>DAY(mergedcleandataset[[#This Row],[dteday]])</f>
        <v>5</v>
      </c>
      <c r="S775" t="str">
        <f>IF(mergedcleandataset[[#This Row],[weekday]]&gt;=5,"Yes","No")</f>
        <v>Yes</v>
      </c>
      <c r="T775" t="b">
        <f>ISBLANK(mergedcleandataset[[#This Row],[atemp]])</f>
        <v>0</v>
      </c>
      <c r="U775" t="str">
        <f t="shared" si="12"/>
        <v>Spring</v>
      </c>
      <c r="V775" t="str">
        <f>TEXT(mergedcleandataset[[#This Row],[date]],"dddd")</f>
        <v>Saturday</v>
      </c>
      <c r="W77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6" spans="1:23" x14ac:dyDescent="0.25">
      <c r="A776">
        <v>784</v>
      </c>
      <c r="B776" s="1">
        <v>40579</v>
      </c>
      <c r="C776">
        <v>1</v>
      </c>
      <c r="D776" t="str">
        <f>TEXT(mergedcleandataset[[#This Row],[dteday]],"yyyy")</f>
        <v>2011</v>
      </c>
      <c r="E776">
        <v>2</v>
      </c>
      <c r="F776">
        <v>2</v>
      </c>
      <c r="G776" t="b">
        <v>0</v>
      </c>
      <c r="H776">
        <v>6</v>
      </c>
      <c r="I776">
        <v>2</v>
      </c>
      <c r="J776">
        <v>0.24</v>
      </c>
      <c r="K776">
        <v>0.2424</v>
      </c>
      <c r="L776">
        <v>0.75</v>
      </c>
      <c r="M776">
        <v>0.16420000000000001</v>
      </c>
      <c r="N776">
        <v>5</v>
      </c>
      <c r="O776">
        <v>12</v>
      </c>
      <c r="P776">
        <v>17</v>
      </c>
      <c r="Q776" s="2">
        <f>DATE(mergedcleandataset[[#This Row],[yr]],mergedcleandataset[[#This Row],[mnth]],mergedcleandataset[[#This Row],[day]])</f>
        <v>40579</v>
      </c>
      <c r="R776">
        <f>DAY(mergedcleandataset[[#This Row],[dteday]])</f>
        <v>5</v>
      </c>
      <c r="S776" t="str">
        <f>IF(mergedcleandataset[[#This Row],[weekday]]&gt;=5,"Yes","No")</f>
        <v>Yes</v>
      </c>
      <c r="T776" t="b">
        <f>ISBLANK(mergedcleandataset[[#This Row],[atemp]])</f>
        <v>0</v>
      </c>
      <c r="U776" t="str">
        <f t="shared" si="12"/>
        <v>Spring</v>
      </c>
      <c r="V776" t="str">
        <f>TEXT(mergedcleandataset[[#This Row],[date]],"dddd")</f>
        <v>Saturday</v>
      </c>
      <c r="W77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7" spans="1:23" x14ac:dyDescent="0.25">
      <c r="A777">
        <v>785</v>
      </c>
      <c r="B777" s="1">
        <v>40579</v>
      </c>
      <c r="C777">
        <v>1</v>
      </c>
      <c r="D777" t="str">
        <f>TEXT(mergedcleandataset[[#This Row],[dteday]],"yyyy")</f>
        <v>2011</v>
      </c>
      <c r="E777">
        <v>2</v>
      </c>
      <c r="F777">
        <v>3</v>
      </c>
      <c r="G777" t="b">
        <v>0</v>
      </c>
      <c r="H777">
        <v>6</v>
      </c>
      <c r="I777">
        <v>2</v>
      </c>
      <c r="J777">
        <v>0.24</v>
      </c>
      <c r="K777">
        <v>0.2424</v>
      </c>
      <c r="L777">
        <v>0.75</v>
      </c>
      <c r="M777">
        <v>0.16420000000000001</v>
      </c>
      <c r="N777">
        <v>1</v>
      </c>
      <c r="O777">
        <v>10</v>
      </c>
      <c r="P777">
        <v>11</v>
      </c>
      <c r="Q777" s="2">
        <f>DATE(mergedcleandataset[[#This Row],[yr]],mergedcleandataset[[#This Row],[mnth]],mergedcleandataset[[#This Row],[day]])</f>
        <v>40579</v>
      </c>
      <c r="R777">
        <f>DAY(mergedcleandataset[[#This Row],[dteday]])</f>
        <v>5</v>
      </c>
      <c r="S777" t="str">
        <f>IF(mergedcleandataset[[#This Row],[weekday]]&gt;=5,"Yes","No")</f>
        <v>Yes</v>
      </c>
      <c r="T777" t="b">
        <f>ISBLANK(mergedcleandataset[[#This Row],[atemp]])</f>
        <v>0</v>
      </c>
      <c r="U777" t="str">
        <f t="shared" si="12"/>
        <v>Spring</v>
      </c>
      <c r="V777" t="str">
        <f>TEXT(mergedcleandataset[[#This Row],[date]],"dddd")</f>
        <v>Saturday</v>
      </c>
      <c r="W77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78" spans="1:23" x14ac:dyDescent="0.25">
      <c r="A778">
        <v>786</v>
      </c>
      <c r="B778" s="1">
        <v>40579</v>
      </c>
      <c r="C778">
        <v>1</v>
      </c>
      <c r="D778" t="str">
        <f>TEXT(mergedcleandataset[[#This Row],[dteday]],"yyyy")</f>
        <v>2011</v>
      </c>
      <c r="E778">
        <v>2</v>
      </c>
      <c r="F778">
        <v>4</v>
      </c>
      <c r="G778" t="b">
        <v>0</v>
      </c>
      <c r="H778">
        <v>6</v>
      </c>
      <c r="I778">
        <v>3</v>
      </c>
      <c r="J778">
        <v>0.22</v>
      </c>
      <c r="K778">
        <v>0.2273</v>
      </c>
      <c r="L778">
        <v>0.93</v>
      </c>
      <c r="M778">
        <v>0.1343</v>
      </c>
      <c r="N778">
        <v>0</v>
      </c>
      <c r="O778">
        <v>8</v>
      </c>
      <c r="P778">
        <v>8</v>
      </c>
      <c r="Q778" s="2">
        <f>DATE(mergedcleandataset[[#This Row],[yr]],mergedcleandataset[[#This Row],[mnth]],mergedcleandataset[[#This Row],[day]])</f>
        <v>40579</v>
      </c>
      <c r="R778">
        <f>DAY(mergedcleandataset[[#This Row],[dteday]])</f>
        <v>5</v>
      </c>
      <c r="S778" t="str">
        <f>IF(mergedcleandataset[[#This Row],[weekday]]&gt;=5,"Yes","No")</f>
        <v>Yes</v>
      </c>
      <c r="T778" t="b">
        <f>ISBLANK(mergedcleandataset[[#This Row],[atemp]])</f>
        <v>0</v>
      </c>
      <c r="U778" t="str">
        <f t="shared" si="12"/>
        <v>Spring</v>
      </c>
      <c r="V778" t="str">
        <f>TEXT(mergedcleandataset[[#This Row],[date]],"dddd")</f>
        <v>Saturday</v>
      </c>
      <c r="W77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79" spans="1:23" x14ac:dyDescent="0.25">
      <c r="A779">
        <v>787</v>
      </c>
      <c r="B779" s="1">
        <v>40579</v>
      </c>
      <c r="C779">
        <v>1</v>
      </c>
      <c r="D779" t="str">
        <f>TEXT(mergedcleandataset[[#This Row],[dteday]],"yyyy")</f>
        <v>2011</v>
      </c>
      <c r="E779">
        <v>2</v>
      </c>
      <c r="F779">
        <v>5</v>
      </c>
      <c r="G779" t="b">
        <v>0</v>
      </c>
      <c r="H779">
        <v>6</v>
      </c>
      <c r="I779">
        <v>3</v>
      </c>
      <c r="J779">
        <v>0.2</v>
      </c>
      <c r="K779">
        <v>0.2273</v>
      </c>
      <c r="L779">
        <v>1</v>
      </c>
      <c r="M779">
        <v>8.9599999999999999E-2</v>
      </c>
      <c r="N779">
        <v>0</v>
      </c>
      <c r="O779">
        <v>9</v>
      </c>
      <c r="P779">
        <v>9</v>
      </c>
      <c r="Q779" s="2">
        <f>DATE(mergedcleandataset[[#This Row],[yr]],mergedcleandataset[[#This Row],[mnth]],mergedcleandataset[[#This Row],[day]])</f>
        <v>40579</v>
      </c>
      <c r="R779">
        <f>DAY(mergedcleandataset[[#This Row],[dteday]])</f>
        <v>5</v>
      </c>
      <c r="S779" t="str">
        <f>IF(mergedcleandataset[[#This Row],[weekday]]&gt;=5,"Yes","No")</f>
        <v>Yes</v>
      </c>
      <c r="T779" t="b">
        <f>ISBLANK(mergedcleandataset[[#This Row],[atemp]])</f>
        <v>0</v>
      </c>
      <c r="U779" t="str">
        <f t="shared" si="12"/>
        <v>Spring</v>
      </c>
      <c r="V779" t="str">
        <f>TEXT(mergedcleandataset[[#This Row],[date]],"dddd")</f>
        <v>Saturday</v>
      </c>
      <c r="W77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0" spans="1:23" x14ac:dyDescent="0.25">
      <c r="A780">
        <v>788</v>
      </c>
      <c r="B780" s="1">
        <v>40579</v>
      </c>
      <c r="C780">
        <v>1</v>
      </c>
      <c r="D780" t="str">
        <f>TEXT(mergedcleandataset[[#This Row],[dteday]],"yyyy")</f>
        <v>2011</v>
      </c>
      <c r="E780">
        <v>2</v>
      </c>
      <c r="F780">
        <v>6</v>
      </c>
      <c r="G780" t="b">
        <v>0</v>
      </c>
      <c r="H780">
        <v>6</v>
      </c>
      <c r="I780">
        <v>3</v>
      </c>
      <c r="J780">
        <v>0.2</v>
      </c>
      <c r="K780">
        <v>0.2576</v>
      </c>
      <c r="L780">
        <v>1</v>
      </c>
      <c r="M780">
        <v>0</v>
      </c>
      <c r="N780">
        <v>0</v>
      </c>
      <c r="O780">
        <v>4</v>
      </c>
      <c r="P780">
        <v>4</v>
      </c>
      <c r="Q780" s="2">
        <f>DATE(mergedcleandataset[[#This Row],[yr]],mergedcleandataset[[#This Row],[mnth]],mergedcleandataset[[#This Row],[day]])</f>
        <v>40579</v>
      </c>
      <c r="R780">
        <f>DAY(mergedcleandataset[[#This Row],[dteday]])</f>
        <v>5</v>
      </c>
      <c r="S780" t="str">
        <f>IF(mergedcleandataset[[#This Row],[weekday]]&gt;=5,"Yes","No")</f>
        <v>Yes</v>
      </c>
      <c r="T780" t="b">
        <f>ISBLANK(mergedcleandataset[[#This Row],[atemp]])</f>
        <v>0</v>
      </c>
      <c r="U780" t="str">
        <f t="shared" si="12"/>
        <v>Spring</v>
      </c>
      <c r="V780" t="str">
        <f>TEXT(mergedcleandataset[[#This Row],[date]],"dddd")</f>
        <v>Saturday</v>
      </c>
      <c r="W78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1" spans="1:23" x14ac:dyDescent="0.25">
      <c r="A781">
        <v>789</v>
      </c>
      <c r="B781" s="1">
        <v>40579</v>
      </c>
      <c r="C781">
        <v>1</v>
      </c>
      <c r="D781" t="str">
        <f>TEXT(mergedcleandataset[[#This Row],[dteday]],"yyyy")</f>
        <v>2011</v>
      </c>
      <c r="E781">
        <v>2</v>
      </c>
      <c r="F781">
        <v>7</v>
      </c>
      <c r="G781" t="b">
        <v>0</v>
      </c>
      <c r="H781">
        <v>6</v>
      </c>
      <c r="I781">
        <v>3</v>
      </c>
      <c r="J781">
        <v>0.22</v>
      </c>
      <c r="K781">
        <v>0.2576</v>
      </c>
      <c r="L781">
        <v>0.93</v>
      </c>
      <c r="M781">
        <v>8.9599999999999999E-2</v>
      </c>
      <c r="N781">
        <v>0</v>
      </c>
      <c r="O781">
        <v>4</v>
      </c>
      <c r="P781">
        <v>4</v>
      </c>
      <c r="Q781" s="2">
        <f>DATE(mergedcleandataset[[#This Row],[yr]],mergedcleandataset[[#This Row],[mnth]],mergedcleandataset[[#This Row],[day]])</f>
        <v>40579</v>
      </c>
      <c r="R781">
        <f>DAY(mergedcleandataset[[#This Row],[dteday]])</f>
        <v>5</v>
      </c>
      <c r="S781" t="str">
        <f>IF(mergedcleandataset[[#This Row],[weekday]]&gt;=5,"Yes","No")</f>
        <v>Yes</v>
      </c>
      <c r="T781" t="b">
        <f>ISBLANK(mergedcleandataset[[#This Row],[atemp]])</f>
        <v>0</v>
      </c>
      <c r="U781" t="str">
        <f t="shared" si="12"/>
        <v>Spring</v>
      </c>
      <c r="V781" t="str">
        <f>TEXT(mergedcleandataset[[#This Row],[date]],"dddd")</f>
        <v>Saturday</v>
      </c>
      <c r="W78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2" spans="1:23" x14ac:dyDescent="0.25">
      <c r="A782">
        <v>790</v>
      </c>
      <c r="B782" s="1">
        <v>40579</v>
      </c>
      <c r="C782">
        <v>1</v>
      </c>
      <c r="D782" t="str">
        <f>TEXT(mergedcleandataset[[#This Row],[dteday]],"yyyy")</f>
        <v>2011</v>
      </c>
      <c r="E782">
        <v>2</v>
      </c>
      <c r="F782">
        <v>8</v>
      </c>
      <c r="G782" t="b">
        <v>0</v>
      </c>
      <c r="H782">
        <v>6</v>
      </c>
      <c r="I782">
        <v>3</v>
      </c>
      <c r="J782">
        <v>0.2</v>
      </c>
      <c r="K782">
        <v>0.2273</v>
      </c>
      <c r="L782">
        <v>1</v>
      </c>
      <c r="M782">
        <v>8.9599999999999999E-2</v>
      </c>
      <c r="N782">
        <v>0</v>
      </c>
      <c r="O782">
        <v>10</v>
      </c>
      <c r="P782">
        <v>10</v>
      </c>
      <c r="Q782" s="2">
        <f>DATE(mergedcleandataset[[#This Row],[yr]],mergedcleandataset[[#This Row],[mnth]],mergedcleandataset[[#This Row],[day]])</f>
        <v>40579</v>
      </c>
      <c r="R782">
        <f>DAY(mergedcleandataset[[#This Row],[dteday]])</f>
        <v>5</v>
      </c>
      <c r="S782" t="str">
        <f>IF(mergedcleandataset[[#This Row],[weekday]]&gt;=5,"Yes","No")</f>
        <v>Yes</v>
      </c>
      <c r="T782" t="b">
        <f>ISBLANK(mergedcleandataset[[#This Row],[atemp]])</f>
        <v>0</v>
      </c>
      <c r="U782" t="str">
        <f t="shared" si="12"/>
        <v>Spring</v>
      </c>
      <c r="V782" t="str">
        <f>TEXT(mergedcleandataset[[#This Row],[date]],"dddd")</f>
        <v>Saturday</v>
      </c>
      <c r="W78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3" spans="1:23" x14ac:dyDescent="0.25">
      <c r="A783">
        <v>791</v>
      </c>
      <c r="B783" s="1">
        <v>40579</v>
      </c>
      <c r="C783">
        <v>1</v>
      </c>
      <c r="D783" t="str">
        <f>TEXT(mergedcleandataset[[#This Row],[dteday]],"yyyy")</f>
        <v>2011</v>
      </c>
      <c r="E783">
        <v>2</v>
      </c>
      <c r="F783">
        <v>9</v>
      </c>
      <c r="G783" t="b">
        <v>0</v>
      </c>
      <c r="H783">
        <v>6</v>
      </c>
      <c r="I783">
        <v>3</v>
      </c>
      <c r="J783">
        <v>0.2</v>
      </c>
      <c r="K783">
        <v>0.2273</v>
      </c>
      <c r="L783">
        <v>1</v>
      </c>
      <c r="M783">
        <v>8.9599999999999999E-2</v>
      </c>
      <c r="N783">
        <v>3</v>
      </c>
      <c r="O783">
        <v>17</v>
      </c>
      <c r="P783">
        <v>20</v>
      </c>
      <c r="Q783" s="2">
        <f>DATE(mergedcleandataset[[#This Row],[yr]],mergedcleandataset[[#This Row],[mnth]],mergedcleandataset[[#This Row],[day]])</f>
        <v>40579</v>
      </c>
      <c r="R783">
        <f>DAY(mergedcleandataset[[#This Row],[dteday]])</f>
        <v>5</v>
      </c>
      <c r="S783" t="str">
        <f>IF(mergedcleandataset[[#This Row],[weekday]]&gt;=5,"Yes","No")</f>
        <v>Yes</v>
      </c>
      <c r="T783" t="b">
        <f>ISBLANK(mergedcleandataset[[#This Row],[atemp]])</f>
        <v>0</v>
      </c>
      <c r="U783" t="str">
        <f t="shared" si="12"/>
        <v>Spring</v>
      </c>
      <c r="V783" t="str">
        <f>TEXT(mergedcleandataset[[#This Row],[date]],"dddd")</f>
        <v>Saturday</v>
      </c>
      <c r="W78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4" spans="1:23" x14ac:dyDescent="0.25">
      <c r="A784">
        <v>792</v>
      </c>
      <c r="B784" s="1">
        <v>40579</v>
      </c>
      <c r="C784">
        <v>1</v>
      </c>
      <c r="D784" t="str">
        <f>TEXT(mergedcleandataset[[#This Row],[dteday]],"yyyy")</f>
        <v>2011</v>
      </c>
      <c r="E784">
        <v>2</v>
      </c>
      <c r="F784">
        <v>10</v>
      </c>
      <c r="G784" t="b">
        <v>0</v>
      </c>
      <c r="H784">
        <v>6</v>
      </c>
      <c r="I784">
        <v>3</v>
      </c>
      <c r="J784">
        <v>0.2</v>
      </c>
      <c r="K784">
        <v>0.21210000000000001</v>
      </c>
      <c r="L784">
        <v>1</v>
      </c>
      <c r="M784">
        <v>0.1343</v>
      </c>
      <c r="N784">
        <v>3</v>
      </c>
      <c r="O784">
        <v>31</v>
      </c>
      <c r="P784">
        <v>34</v>
      </c>
      <c r="Q784" s="2">
        <f>DATE(mergedcleandataset[[#This Row],[yr]],mergedcleandataset[[#This Row],[mnth]],mergedcleandataset[[#This Row],[day]])</f>
        <v>40579</v>
      </c>
      <c r="R784">
        <f>DAY(mergedcleandataset[[#This Row],[dteday]])</f>
        <v>5</v>
      </c>
      <c r="S784" t="str">
        <f>IF(mergedcleandataset[[#This Row],[weekday]]&gt;=5,"Yes","No")</f>
        <v>Yes</v>
      </c>
      <c r="T784" t="b">
        <f>ISBLANK(mergedcleandataset[[#This Row],[atemp]])</f>
        <v>0</v>
      </c>
      <c r="U784" t="str">
        <f t="shared" si="12"/>
        <v>Spring</v>
      </c>
      <c r="V784" t="str">
        <f>TEXT(mergedcleandataset[[#This Row],[date]],"dddd")</f>
        <v>Saturday</v>
      </c>
      <c r="W78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5" spans="1:23" x14ac:dyDescent="0.25">
      <c r="A785">
        <v>793</v>
      </c>
      <c r="B785" s="1">
        <v>40579</v>
      </c>
      <c r="C785">
        <v>1</v>
      </c>
      <c r="D785" t="str">
        <f>TEXT(mergedcleandataset[[#This Row],[dteday]],"yyyy")</f>
        <v>2011</v>
      </c>
      <c r="E785">
        <v>2</v>
      </c>
      <c r="F785">
        <v>11</v>
      </c>
      <c r="G785" t="b">
        <v>0</v>
      </c>
      <c r="H785">
        <v>6</v>
      </c>
      <c r="I785">
        <v>3</v>
      </c>
      <c r="J785">
        <v>0.22</v>
      </c>
      <c r="K785">
        <v>0.2273</v>
      </c>
      <c r="L785">
        <v>1</v>
      </c>
      <c r="M785">
        <v>0.1343</v>
      </c>
      <c r="N785">
        <v>1</v>
      </c>
      <c r="O785">
        <v>46</v>
      </c>
      <c r="P785">
        <v>47</v>
      </c>
      <c r="Q785" s="2">
        <f>DATE(mergedcleandataset[[#This Row],[yr]],mergedcleandataset[[#This Row],[mnth]],mergedcleandataset[[#This Row],[day]])</f>
        <v>40579</v>
      </c>
      <c r="R785">
        <f>DAY(mergedcleandataset[[#This Row],[dteday]])</f>
        <v>5</v>
      </c>
      <c r="S785" t="str">
        <f>IF(mergedcleandataset[[#This Row],[weekday]]&gt;=5,"Yes","No")</f>
        <v>Yes</v>
      </c>
      <c r="T785" t="b">
        <f>ISBLANK(mergedcleandataset[[#This Row],[atemp]])</f>
        <v>0</v>
      </c>
      <c r="U785" t="str">
        <f t="shared" si="12"/>
        <v>Spring</v>
      </c>
      <c r="V785" t="str">
        <f>TEXT(mergedcleandataset[[#This Row],[date]],"dddd")</f>
        <v>Saturday</v>
      </c>
      <c r="W78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6" spans="1:23" x14ac:dyDescent="0.25">
      <c r="A786">
        <v>794</v>
      </c>
      <c r="B786" s="1">
        <v>40579</v>
      </c>
      <c r="C786">
        <v>1</v>
      </c>
      <c r="D786" t="str">
        <f>TEXT(mergedcleandataset[[#This Row],[dteday]],"yyyy")</f>
        <v>2011</v>
      </c>
      <c r="E786">
        <v>2</v>
      </c>
      <c r="F786">
        <v>12</v>
      </c>
      <c r="G786" t="b">
        <v>0</v>
      </c>
      <c r="H786">
        <v>6</v>
      </c>
      <c r="I786">
        <v>3</v>
      </c>
      <c r="J786">
        <v>0.22</v>
      </c>
      <c r="K786">
        <v>0.2273</v>
      </c>
      <c r="L786">
        <v>1</v>
      </c>
      <c r="M786">
        <v>0.16420000000000001</v>
      </c>
      <c r="N786">
        <v>10</v>
      </c>
      <c r="O786">
        <v>42</v>
      </c>
      <c r="P786">
        <v>52</v>
      </c>
      <c r="Q786" s="2">
        <f>DATE(mergedcleandataset[[#This Row],[yr]],mergedcleandataset[[#This Row],[mnth]],mergedcleandataset[[#This Row],[day]])</f>
        <v>40579</v>
      </c>
      <c r="R786">
        <f>DAY(mergedcleandataset[[#This Row],[dteday]])</f>
        <v>5</v>
      </c>
      <c r="S786" t="str">
        <f>IF(mergedcleandataset[[#This Row],[weekday]]&gt;=5,"Yes","No")</f>
        <v>Yes</v>
      </c>
      <c r="T786" t="b">
        <f>ISBLANK(mergedcleandataset[[#This Row],[atemp]])</f>
        <v>0</v>
      </c>
      <c r="U786" t="str">
        <f t="shared" si="12"/>
        <v>Spring</v>
      </c>
      <c r="V786" t="str">
        <f>TEXT(mergedcleandataset[[#This Row],[date]],"dddd")</f>
        <v>Saturday</v>
      </c>
      <c r="W786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7" spans="1:23" x14ac:dyDescent="0.25">
      <c r="A787">
        <v>795</v>
      </c>
      <c r="B787" s="1">
        <v>40579</v>
      </c>
      <c r="C787">
        <v>1</v>
      </c>
      <c r="D787" t="str">
        <f>TEXT(mergedcleandataset[[#This Row],[dteday]],"yyyy")</f>
        <v>2011</v>
      </c>
      <c r="E787">
        <v>2</v>
      </c>
      <c r="F787">
        <v>13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1</v>
      </c>
      <c r="M787">
        <v>0.16420000000000001</v>
      </c>
      <c r="N787">
        <v>10</v>
      </c>
      <c r="O787">
        <v>62</v>
      </c>
      <c r="P787">
        <v>72</v>
      </c>
      <c r="Q787" s="2">
        <f>DATE(mergedcleandataset[[#This Row],[yr]],mergedcleandataset[[#This Row],[mnth]],mergedcleandataset[[#This Row],[day]])</f>
        <v>40579</v>
      </c>
      <c r="R787">
        <f>DAY(mergedcleandataset[[#This Row],[dteday]])</f>
        <v>5</v>
      </c>
      <c r="S787" t="str">
        <f>IF(mergedcleandataset[[#This Row],[weekday]]&gt;=5,"Yes","No")</f>
        <v>Yes</v>
      </c>
      <c r="T787" t="b">
        <f>ISBLANK(mergedcleandataset[[#This Row],[atemp]])</f>
        <v>0</v>
      </c>
      <c r="U787" t="str">
        <f t="shared" si="12"/>
        <v>Spring</v>
      </c>
      <c r="V787" t="str">
        <f>TEXT(mergedcleandataset[[#This Row],[date]],"dddd")</f>
        <v>Saturday</v>
      </c>
      <c r="W787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8" spans="1:23" x14ac:dyDescent="0.25">
      <c r="A788">
        <v>796</v>
      </c>
      <c r="B788" s="1">
        <v>40579</v>
      </c>
      <c r="C788">
        <v>1</v>
      </c>
      <c r="D788" t="str">
        <f>TEXT(mergedcleandataset[[#This Row],[dteday]],"yyyy")</f>
        <v>2011</v>
      </c>
      <c r="E788">
        <v>2</v>
      </c>
      <c r="F788">
        <v>14</v>
      </c>
      <c r="G788" t="b">
        <v>0</v>
      </c>
      <c r="H788">
        <v>6</v>
      </c>
      <c r="I788">
        <v>3</v>
      </c>
      <c r="J788">
        <v>0.22</v>
      </c>
      <c r="K788">
        <v>0.2727</v>
      </c>
      <c r="L788">
        <v>1</v>
      </c>
      <c r="M788">
        <v>0</v>
      </c>
      <c r="N788">
        <v>5</v>
      </c>
      <c r="O788">
        <v>50</v>
      </c>
      <c r="P788">
        <v>55</v>
      </c>
      <c r="Q788" s="2">
        <f>DATE(mergedcleandataset[[#This Row],[yr]],mergedcleandataset[[#This Row],[mnth]],mergedcleandataset[[#This Row],[day]])</f>
        <v>40579</v>
      </c>
      <c r="R788">
        <f>DAY(mergedcleandataset[[#This Row],[dteday]])</f>
        <v>5</v>
      </c>
      <c r="S788" t="str">
        <f>IF(mergedcleandataset[[#This Row],[weekday]]&gt;=5,"Yes","No")</f>
        <v>Yes</v>
      </c>
      <c r="T788" t="b">
        <f>ISBLANK(mergedcleandataset[[#This Row],[atemp]])</f>
        <v>0</v>
      </c>
      <c r="U788" t="str">
        <f t="shared" si="12"/>
        <v>Spring</v>
      </c>
      <c r="V788" t="str">
        <f>TEXT(mergedcleandataset[[#This Row],[date]],"dddd")</f>
        <v>Saturday</v>
      </c>
      <c r="W78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89" spans="1:23" x14ac:dyDescent="0.25">
      <c r="A789">
        <v>797</v>
      </c>
      <c r="B789" s="1">
        <v>40579</v>
      </c>
      <c r="C789">
        <v>1</v>
      </c>
      <c r="D789" t="str">
        <f>TEXT(mergedcleandataset[[#This Row],[dteday]],"yyyy")</f>
        <v>2011</v>
      </c>
      <c r="E789">
        <v>2</v>
      </c>
      <c r="F789">
        <v>15</v>
      </c>
      <c r="G789" t="b">
        <v>0</v>
      </c>
      <c r="H789">
        <v>6</v>
      </c>
      <c r="I789">
        <v>3</v>
      </c>
      <c r="J789">
        <v>0.22</v>
      </c>
      <c r="K789">
        <v>0.2727</v>
      </c>
      <c r="L789">
        <v>1</v>
      </c>
      <c r="M789">
        <v>0</v>
      </c>
      <c r="N789">
        <v>11</v>
      </c>
      <c r="O789">
        <v>49</v>
      </c>
      <c r="P789">
        <v>60</v>
      </c>
      <c r="Q789" s="2">
        <f>DATE(mergedcleandataset[[#This Row],[yr]],mergedcleandataset[[#This Row],[mnth]],mergedcleandataset[[#This Row],[day]])</f>
        <v>40579</v>
      </c>
      <c r="R789">
        <f>DAY(mergedcleandataset[[#This Row],[dteday]])</f>
        <v>5</v>
      </c>
      <c r="S789" t="str">
        <f>IF(mergedcleandataset[[#This Row],[weekday]]&gt;=5,"Yes","No")</f>
        <v>Yes</v>
      </c>
      <c r="T789" t="b">
        <f>ISBLANK(mergedcleandataset[[#This Row],[atemp]])</f>
        <v>0</v>
      </c>
      <c r="U789" t="str">
        <f t="shared" si="12"/>
        <v>Spring</v>
      </c>
      <c r="V789" t="str">
        <f>TEXT(mergedcleandataset[[#This Row],[date]],"dddd")</f>
        <v>Saturday</v>
      </c>
      <c r="W78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90" spans="1:23" x14ac:dyDescent="0.25">
      <c r="A790">
        <v>798</v>
      </c>
      <c r="B790" s="1">
        <v>40579</v>
      </c>
      <c r="C790">
        <v>1</v>
      </c>
      <c r="D790" t="str">
        <f>TEXT(mergedcleandataset[[#This Row],[dteday]],"yyyy")</f>
        <v>2011</v>
      </c>
      <c r="E790">
        <v>2</v>
      </c>
      <c r="F790">
        <v>16</v>
      </c>
      <c r="G790" t="b">
        <v>0</v>
      </c>
      <c r="H790">
        <v>6</v>
      </c>
      <c r="I790">
        <v>3</v>
      </c>
      <c r="J790">
        <v>0.22</v>
      </c>
      <c r="K790">
        <v>0.2273</v>
      </c>
      <c r="L790">
        <v>1</v>
      </c>
      <c r="M790">
        <v>0.1343</v>
      </c>
      <c r="N790">
        <v>8</v>
      </c>
      <c r="O790">
        <v>63</v>
      </c>
      <c r="P790">
        <v>71</v>
      </c>
      <c r="Q790" s="2">
        <f>DATE(mergedcleandataset[[#This Row],[yr]],mergedcleandataset[[#This Row],[mnth]],mergedcleandataset[[#This Row],[day]])</f>
        <v>40579</v>
      </c>
      <c r="R790">
        <f>DAY(mergedcleandataset[[#This Row],[dteday]])</f>
        <v>5</v>
      </c>
      <c r="S790" t="str">
        <f>IF(mergedcleandataset[[#This Row],[weekday]]&gt;=5,"Yes","No")</f>
        <v>Yes</v>
      </c>
      <c r="T790" t="b">
        <f>ISBLANK(mergedcleandataset[[#This Row],[atemp]])</f>
        <v>0</v>
      </c>
      <c r="U790" t="str">
        <f t="shared" si="12"/>
        <v>Spring</v>
      </c>
      <c r="V790" t="str">
        <f>TEXT(mergedcleandataset[[#This Row],[date]],"dddd")</f>
        <v>Saturday</v>
      </c>
      <c r="W790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791" spans="1:23" x14ac:dyDescent="0.25">
      <c r="A791">
        <v>799</v>
      </c>
      <c r="B791" s="1">
        <v>40579</v>
      </c>
      <c r="C791">
        <v>1</v>
      </c>
      <c r="D791" t="str">
        <f>TEXT(mergedcleandataset[[#This Row],[dteday]],"yyyy")</f>
        <v>2011</v>
      </c>
      <c r="E791">
        <v>2</v>
      </c>
      <c r="F791">
        <v>17</v>
      </c>
      <c r="G791" t="b">
        <v>0</v>
      </c>
      <c r="H791">
        <v>6</v>
      </c>
      <c r="I791">
        <v>2</v>
      </c>
      <c r="J791">
        <v>0.24</v>
      </c>
      <c r="K791">
        <v>0.21210000000000001</v>
      </c>
      <c r="L791">
        <v>1</v>
      </c>
      <c r="M791">
        <v>0.28360000000000002</v>
      </c>
      <c r="N791">
        <v>14</v>
      </c>
      <c r="O791">
        <v>64</v>
      </c>
      <c r="P791">
        <v>78</v>
      </c>
      <c r="Q791" s="2">
        <f>DATE(mergedcleandataset[[#This Row],[yr]],mergedcleandataset[[#This Row],[mnth]],mergedcleandataset[[#This Row],[day]])</f>
        <v>40579</v>
      </c>
      <c r="R791">
        <f>DAY(mergedcleandataset[[#This Row],[dteday]])</f>
        <v>5</v>
      </c>
      <c r="S791" t="str">
        <f>IF(mergedcleandataset[[#This Row],[weekday]]&gt;=5,"Yes","No")</f>
        <v>Yes</v>
      </c>
      <c r="T791" t="b">
        <f>ISBLANK(mergedcleandataset[[#This Row],[atemp]])</f>
        <v>0</v>
      </c>
      <c r="U791" t="str">
        <f t="shared" si="12"/>
        <v>Spring</v>
      </c>
      <c r="V791" t="str">
        <f>TEXT(mergedcleandataset[[#This Row],[date]],"dddd")</f>
        <v>Saturday</v>
      </c>
      <c r="W79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92" spans="1:23" x14ac:dyDescent="0.25">
      <c r="A792">
        <v>800</v>
      </c>
      <c r="B792" s="1">
        <v>40579</v>
      </c>
      <c r="C792">
        <v>1</v>
      </c>
      <c r="D792" t="str">
        <f>TEXT(mergedcleandataset[[#This Row],[dteday]],"yyyy")</f>
        <v>2011</v>
      </c>
      <c r="E792">
        <v>2</v>
      </c>
      <c r="F792">
        <v>18</v>
      </c>
      <c r="G792" t="b">
        <v>0</v>
      </c>
      <c r="H792">
        <v>6</v>
      </c>
      <c r="I792">
        <v>2</v>
      </c>
      <c r="J792">
        <v>0.28000000000000003</v>
      </c>
      <c r="K792">
        <v>0.2424</v>
      </c>
      <c r="L792">
        <v>0.93</v>
      </c>
      <c r="M792">
        <v>0.44779999999999998</v>
      </c>
      <c r="N792">
        <v>2</v>
      </c>
      <c r="O792">
        <v>81</v>
      </c>
      <c r="P792">
        <v>83</v>
      </c>
      <c r="Q792" s="2">
        <f>DATE(mergedcleandataset[[#This Row],[yr]],mergedcleandataset[[#This Row],[mnth]],mergedcleandataset[[#This Row],[day]])</f>
        <v>40579</v>
      </c>
      <c r="R792">
        <f>DAY(mergedcleandataset[[#This Row],[dteday]])</f>
        <v>5</v>
      </c>
      <c r="S792" t="str">
        <f>IF(mergedcleandataset[[#This Row],[weekday]]&gt;=5,"Yes","No")</f>
        <v>Yes</v>
      </c>
      <c r="T792" t="b">
        <f>ISBLANK(mergedcleandataset[[#This Row],[atemp]])</f>
        <v>0</v>
      </c>
      <c r="U792" t="str">
        <f t="shared" si="12"/>
        <v>Spring</v>
      </c>
      <c r="V792" t="str">
        <f>TEXT(mergedcleandataset[[#This Row],[date]],"dddd")</f>
        <v>Saturday</v>
      </c>
      <c r="W79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93" spans="1:23" x14ac:dyDescent="0.25">
      <c r="A793">
        <v>801</v>
      </c>
      <c r="B793" s="1">
        <v>40579</v>
      </c>
      <c r="C793">
        <v>1</v>
      </c>
      <c r="D793" t="str">
        <f>TEXT(mergedcleandataset[[#This Row],[dteday]],"yyyy")</f>
        <v>2011</v>
      </c>
      <c r="E793">
        <v>2</v>
      </c>
      <c r="F793">
        <v>19</v>
      </c>
      <c r="G793" t="b">
        <v>0</v>
      </c>
      <c r="H793">
        <v>6</v>
      </c>
      <c r="I793">
        <v>2</v>
      </c>
      <c r="J793">
        <v>0.28000000000000003</v>
      </c>
      <c r="K793">
        <v>0.2424</v>
      </c>
      <c r="L793">
        <v>0.93</v>
      </c>
      <c r="M793">
        <v>0.44779999999999998</v>
      </c>
      <c r="N793">
        <v>6</v>
      </c>
      <c r="O793">
        <v>78</v>
      </c>
      <c r="P793">
        <v>84</v>
      </c>
      <c r="Q793" s="2">
        <f>DATE(mergedcleandataset[[#This Row],[yr]],mergedcleandataset[[#This Row],[mnth]],mergedcleandataset[[#This Row],[day]])</f>
        <v>40579</v>
      </c>
      <c r="R793">
        <f>DAY(mergedcleandataset[[#This Row],[dteday]])</f>
        <v>5</v>
      </c>
      <c r="S793" t="str">
        <f>IF(mergedcleandataset[[#This Row],[weekday]]&gt;=5,"Yes","No")</f>
        <v>Yes</v>
      </c>
      <c r="T793" t="b">
        <f>ISBLANK(mergedcleandataset[[#This Row],[atemp]])</f>
        <v>0</v>
      </c>
      <c r="U793" t="str">
        <f t="shared" si="12"/>
        <v>Spring</v>
      </c>
      <c r="V793" t="str">
        <f>TEXT(mergedcleandataset[[#This Row],[date]],"dddd")</f>
        <v>Saturday</v>
      </c>
      <c r="W793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794" spans="1:23" x14ac:dyDescent="0.25">
      <c r="A794">
        <v>802</v>
      </c>
      <c r="B794" s="1">
        <v>40579</v>
      </c>
      <c r="C794">
        <v>1</v>
      </c>
      <c r="D794" t="str">
        <f>TEXT(mergedcleandataset[[#This Row],[dteday]],"yyyy")</f>
        <v>2011</v>
      </c>
      <c r="E794">
        <v>2</v>
      </c>
      <c r="F794">
        <v>20</v>
      </c>
      <c r="G794" t="b">
        <v>0</v>
      </c>
      <c r="H794">
        <v>6</v>
      </c>
      <c r="I794">
        <v>1</v>
      </c>
      <c r="J794">
        <v>0.3</v>
      </c>
      <c r="K794">
        <v>0.28789999999999999</v>
      </c>
      <c r="L794">
        <v>0.87</v>
      </c>
      <c r="M794">
        <v>0.25369999999999998</v>
      </c>
      <c r="N794">
        <v>5</v>
      </c>
      <c r="O794">
        <v>64</v>
      </c>
      <c r="P794">
        <v>69</v>
      </c>
      <c r="Q794" s="2">
        <f>DATE(mergedcleandataset[[#This Row],[yr]],mergedcleandataset[[#This Row],[mnth]],mergedcleandataset[[#This Row],[day]])</f>
        <v>40579</v>
      </c>
      <c r="R794">
        <f>DAY(mergedcleandataset[[#This Row],[dteday]])</f>
        <v>5</v>
      </c>
      <c r="S794" t="str">
        <f>IF(mergedcleandataset[[#This Row],[weekday]]&gt;=5,"Yes","No")</f>
        <v>Yes</v>
      </c>
      <c r="T794" t="b">
        <f>ISBLANK(mergedcleandataset[[#This Row],[atemp]])</f>
        <v>0</v>
      </c>
      <c r="U794" t="str">
        <f t="shared" si="12"/>
        <v>Spring</v>
      </c>
      <c r="V794" t="str">
        <f>TEXT(mergedcleandataset[[#This Row],[date]],"dddd")</f>
        <v>Saturday</v>
      </c>
      <c r="W7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95" spans="1:23" x14ac:dyDescent="0.25">
      <c r="A795">
        <v>803</v>
      </c>
      <c r="B795" s="1">
        <v>40579</v>
      </c>
      <c r="C795">
        <v>1</v>
      </c>
      <c r="D795" t="str">
        <f>TEXT(mergedcleandataset[[#This Row],[dteday]],"yyyy")</f>
        <v>2011</v>
      </c>
      <c r="E795">
        <v>2</v>
      </c>
      <c r="F795">
        <v>21</v>
      </c>
      <c r="G795" t="b">
        <v>0</v>
      </c>
      <c r="H795">
        <v>6</v>
      </c>
      <c r="I795">
        <v>1</v>
      </c>
      <c r="J795">
        <v>0.26</v>
      </c>
      <c r="K795">
        <v>0.2576</v>
      </c>
      <c r="L795">
        <v>1</v>
      </c>
      <c r="M795">
        <v>0.19400000000000001</v>
      </c>
      <c r="N795">
        <v>3</v>
      </c>
      <c r="O795">
        <v>53</v>
      </c>
      <c r="P795">
        <v>56</v>
      </c>
      <c r="Q795" s="2">
        <f>DATE(mergedcleandataset[[#This Row],[yr]],mergedcleandataset[[#This Row],[mnth]],mergedcleandataset[[#This Row],[day]])</f>
        <v>40579</v>
      </c>
      <c r="R795">
        <f>DAY(mergedcleandataset[[#This Row],[dteday]])</f>
        <v>5</v>
      </c>
      <c r="S795" t="str">
        <f>IF(mergedcleandataset[[#This Row],[weekday]]&gt;=5,"Yes","No")</f>
        <v>Yes</v>
      </c>
      <c r="T795" t="b">
        <f>ISBLANK(mergedcleandataset[[#This Row],[atemp]])</f>
        <v>0</v>
      </c>
      <c r="U795" t="str">
        <f t="shared" si="12"/>
        <v>Spring</v>
      </c>
      <c r="V795" t="str">
        <f>TEXT(mergedcleandataset[[#This Row],[date]],"dddd")</f>
        <v>Saturday</v>
      </c>
      <c r="W7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96" spans="1:23" x14ac:dyDescent="0.25">
      <c r="A796">
        <v>804</v>
      </c>
      <c r="B796" s="1">
        <v>40579</v>
      </c>
      <c r="C796">
        <v>1</v>
      </c>
      <c r="D796" t="str">
        <f>TEXT(mergedcleandataset[[#This Row],[dteday]],"yyyy")</f>
        <v>2011</v>
      </c>
      <c r="E796">
        <v>2</v>
      </c>
      <c r="F796">
        <v>22</v>
      </c>
      <c r="G796" t="b">
        <v>0</v>
      </c>
      <c r="H796">
        <v>6</v>
      </c>
      <c r="I796">
        <v>1</v>
      </c>
      <c r="J796">
        <v>0.26</v>
      </c>
      <c r="K796">
        <v>0.2727</v>
      </c>
      <c r="L796">
        <v>0.93</v>
      </c>
      <c r="M796">
        <v>0.1343</v>
      </c>
      <c r="N796">
        <v>2</v>
      </c>
      <c r="O796">
        <v>43</v>
      </c>
      <c r="P796">
        <v>45</v>
      </c>
      <c r="Q796" s="2">
        <f>DATE(mergedcleandataset[[#This Row],[yr]],mergedcleandataset[[#This Row],[mnth]],mergedcleandataset[[#This Row],[day]])</f>
        <v>40579</v>
      </c>
      <c r="R796">
        <f>DAY(mergedcleandataset[[#This Row],[dteday]])</f>
        <v>5</v>
      </c>
      <c r="S796" t="str">
        <f>IF(mergedcleandataset[[#This Row],[weekday]]&gt;=5,"Yes","No")</f>
        <v>Yes</v>
      </c>
      <c r="T796" t="b">
        <f>ISBLANK(mergedcleandataset[[#This Row],[atemp]])</f>
        <v>0</v>
      </c>
      <c r="U796" t="str">
        <f t="shared" si="12"/>
        <v>Spring</v>
      </c>
      <c r="V796" t="str">
        <f>TEXT(mergedcleandataset[[#This Row],[date]],"dddd")</f>
        <v>Saturday</v>
      </c>
      <c r="W79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97" spans="1:23" x14ac:dyDescent="0.25">
      <c r="A797">
        <v>805</v>
      </c>
      <c r="B797" s="1">
        <v>40579</v>
      </c>
      <c r="C797">
        <v>1</v>
      </c>
      <c r="D797" t="str">
        <f>TEXT(mergedcleandataset[[#This Row],[dteday]],"yyyy")</f>
        <v>2011</v>
      </c>
      <c r="E797">
        <v>2</v>
      </c>
      <c r="F797">
        <v>23</v>
      </c>
      <c r="G797" t="b">
        <v>0</v>
      </c>
      <c r="H797">
        <v>6</v>
      </c>
      <c r="I797">
        <v>1</v>
      </c>
      <c r="J797">
        <v>0.26</v>
      </c>
      <c r="K797">
        <v>0.2576</v>
      </c>
      <c r="L797">
        <v>0.93</v>
      </c>
      <c r="M797">
        <v>0.22389999999999999</v>
      </c>
      <c r="N797">
        <v>7</v>
      </c>
      <c r="O797">
        <v>52</v>
      </c>
      <c r="P797">
        <v>59</v>
      </c>
      <c r="Q797" s="2">
        <f>DATE(mergedcleandataset[[#This Row],[yr]],mergedcleandataset[[#This Row],[mnth]],mergedcleandataset[[#This Row],[day]])</f>
        <v>40579</v>
      </c>
      <c r="R797">
        <f>DAY(mergedcleandataset[[#This Row],[dteday]])</f>
        <v>5</v>
      </c>
      <c r="S797" t="str">
        <f>IF(mergedcleandataset[[#This Row],[weekday]]&gt;=5,"Yes","No")</f>
        <v>Yes</v>
      </c>
      <c r="T797" t="b">
        <f>ISBLANK(mergedcleandataset[[#This Row],[atemp]])</f>
        <v>0</v>
      </c>
      <c r="U797" t="str">
        <f t="shared" si="12"/>
        <v>Spring</v>
      </c>
      <c r="V797" t="str">
        <f>TEXT(mergedcleandataset[[#This Row],[date]],"dddd")</f>
        <v>Saturday</v>
      </c>
      <c r="W79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98" spans="1:23" x14ac:dyDescent="0.25">
      <c r="A798">
        <v>806</v>
      </c>
      <c r="B798" s="1">
        <v>40580</v>
      </c>
      <c r="C798">
        <v>1</v>
      </c>
      <c r="D798" t="str">
        <f>TEXT(mergedcleandataset[[#This Row],[dteday]],"yyyy")</f>
        <v>2011</v>
      </c>
      <c r="E798">
        <v>2</v>
      </c>
      <c r="F798">
        <v>0</v>
      </c>
      <c r="G798" t="b">
        <v>0</v>
      </c>
      <c r="H798">
        <v>0</v>
      </c>
      <c r="I798">
        <v>1</v>
      </c>
      <c r="J798">
        <v>0.26</v>
      </c>
      <c r="K798">
        <v>0.2576</v>
      </c>
      <c r="L798">
        <v>0.7</v>
      </c>
      <c r="M798">
        <v>0.19400000000000001</v>
      </c>
      <c r="N798">
        <v>2</v>
      </c>
      <c r="O798">
        <v>37</v>
      </c>
      <c r="P798">
        <v>39</v>
      </c>
      <c r="Q798" s="2">
        <f>DATE(mergedcleandataset[[#This Row],[yr]],mergedcleandataset[[#This Row],[mnth]],mergedcleandataset[[#This Row],[day]])</f>
        <v>40580</v>
      </c>
      <c r="R798">
        <f>DAY(mergedcleandataset[[#This Row],[dteday]])</f>
        <v>6</v>
      </c>
      <c r="S798" t="str">
        <f>IF(mergedcleandataset[[#This Row],[weekday]]&gt;=5,"Yes","No")</f>
        <v>No</v>
      </c>
      <c r="T798" t="b">
        <f>ISBLANK(mergedcleandataset[[#This Row],[atemp]])</f>
        <v>0</v>
      </c>
      <c r="U798" t="str">
        <f t="shared" si="12"/>
        <v>Spring</v>
      </c>
      <c r="V798" t="str">
        <f>TEXT(mergedcleandataset[[#This Row],[date]],"dddd")</f>
        <v>Sunday</v>
      </c>
      <c r="W79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799" spans="1:23" x14ac:dyDescent="0.25">
      <c r="A799">
        <v>807</v>
      </c>
      <c r="B799" s="1">
        <v>40580</v>
      </c>
      <c r="C799">
        <v>1</v>
      </c>
      <c r="D799" t="str">
        <f>TEXT(mergedcleandataset[[#This Row],[dteday]],"yyyy")</f>
        <v>2011</v>
      </c>
      <c r="E799">
        <v>2</v>
      </c>
      <c r="F799">
        <v>1</v>
      </c>
      <c r="G799" t="b">
        <v>0</v>
      </c>
      <c r="H799">
        <v>0</v>
      </c>
      <c r="I799">
        <v>1</v>
      </c>
      <c r="J799">
        <v>0.26</v>
      </c>
      <c r="K799">
        <v>0.2273</v>
      </c>
      <c r="L799">
        <v>0.65</v>
      </c>
      <c r="M799">
        <v>0.41789999999999999</v>
      </c>
      <c r="N799">
        <v>4</v>
      </c>
      <c r="O799">
        <v>40</v>
      </c>
      <c r="P799">
        <v>44</v>
      </c>
      <c r="Q799" s="2">
        <f>DATE(mergedcleandataset[[#This Row],[yr]],mergedcleandataset[[#This Row],[mnth]],mergedcleandataset[[#This Row],[day]])</f>
        <v>40580</v>
      </c>
      <c r="R799">
        <f>DAY(mergedcleandataset[[#This Row],[dteday]])</f>
        <v>6</v>
      </c>
      <c r="S799" t="str">
        <f>IF(mergedcleandataset[[#This Row],[weekday]]&gt;=5,"Yes","No")</f>
        <v>No</v>
      </c>
      <c r="T799" t="b">
        <f>ISBLANK(mergedcleandataset[[#This Row],[atemp]])</f>
        <v>0</v>
      </c>
      <c r="U799" t="str">
        <f t="shared" si="12"/>
        <v>Spring</v>
      </c>
      <c r="V799" t="str">
        <f>TEXT(mergedcleandataset[[#This Row],[date]],"dddd")</f>
        <v>Sunday</v>
      </c>
      <c r="W7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0" spans="1:23" x14ac:dyDescent="0.25">
      <c r="A800">
        <v>808</v>
      </c>
      <c r="B800" s="1">
        <v>40580</v>
      </c>
      <c r="C800">
        <v>1</v>
      </c>
      <c r="D800" t="str">
        <f>TEXT(mergedcleandataset[[#This Row],[dteday]],"yyyy")</f>
        <v>2011</v>
      </c>
      <c r="E800">
        <v>2</v>
      </c>
      <c r="F800">
        <v>2</v>
      </c>
      <c r="G800" t="b">
        <v>0</v>
      </c>
      <c r="H800">
        <v>0</v>
      </c>
      <c r="I800">
        <v>1</v>
      </c>
      <c r="J800">
        <v>0.26</v>
      </c>
      <c r="K800">
        <v>0.2273</v>
      </c>
      <c r="L800">
        <v>0.6</v>
      </c>
      <c r="M800">
        <v>0.32840000000000003</v>
      </c>
      <c r="N800">
        <v>0</v>
      </c>
      <c r="O800">
        <v>20</v>
      </c>
      <c r="P800">
        <v>20</v>
      </c>
      <c r="Q800" s="2">
        <f>DATE(mergedcleandataset[[#This Row],[yr]],mergedcleandataset[[#This Row],[mnth]],mergedcleandataset[[#This Row],[day]])</f>
        <v>40580</v>
      </c>
      <c r="R800">
        <f>DAY(mergedcleandataset[[#This Row],[dteday]])</f>
        <v>6</v>
      </c>
      <c r="S800" t="str">
        <f>IF(mergedcleandataset[[#This Row],[weekday]]&gt;=5,"Yes","No")</f>
        <v>No</v>
      </c>
      <c r="T800" t="b">
        <f>ISBLANK(mergedcleandataset[[#This Row],[atemp]])</f>
        <v>0</v>
      </c>
      <c r="U800" t="str">
        <f t="shared" si="12"/>
        <v>Spring</v>
      </c>
      <c r="V800" t="str">
        <f>TEXT(mergedcleandataset[[#This Row],[date]],"dddd")</f>
        <v>Sunday</v>
      </c>
      <c r="W8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1" spans="1:23" x14ac:dyDescent="0.25">
      <c r="A801">
        <v>809</v>
      </c>
      <c r="B801" s="1">
        <v>40580</v>
      </c>
      <c r="C801">
        <v>1</v>
      </c>
      <c r="D801" t="str">
        <f>TEXT(mergedcleandataset[[#This Row],[dteday]],"yyyy")</f>
        <v>2011</v>
      </c>
      <c r="E801">
        <v>2</v>
      </c>
      <c r="F801">
        <v>3</v>
      </c>
      <c r="G801" t="b">
        <v>0</v>
      </c>
      <c r="H801">
        <v>0</v>
      </c>
      <c r="I801">
        <v>1</v>
      </c>
      <c r="J801">
        <v>0.26</v>
      </c>
      <c r="K801">
        <v>0.28789999999999999</v>
      </c>
      <c r="L801">
        <v>0.6</v>
      </c>
      <c r="M801">
        <v>8.9599999999999999E-2</v>
      </c>
      <c r="N801">
        <v>3</v>
      </c>
      <c r="O801">
        <v>10</v>
      </c>
      <c r="P801">
        <v>13</v>
      </c>
      <c r="Q801" s="2">
        <f>DATE(mergedcleandataset[[#This Row],[yr]],mergedcleandataset[[#This Row],[mnth]],mergedcleandataset[[#This Row],[day]])</f>
        <v>40580</v>
      </c>
      <c r="R801">
        <f>DAY(mergedcleandataset[[#This Row],[dteday]])</f>
        <v>6</v>
      </c>
      <c r="S801" t="str">
        <f>IF(mergedcleandataset[[#This Row],[weekday]]&gt;=5,"Yes","No")</f>
        <v>No</v>
      </c>
      <c r="T801" t="b">
        <f>ISBLANK(mergedcleandataset[[#This Row],[atemp]])</f>
        <v>0</v>
      </c>
      <c r="U801" t="str">
        <f t="shared" si="12"/>
        <v>Spring</v>
      </c>
      <c r="V801" t="str">
        <f>TEXT(mergedcleandataset[[#This Row],[date]],"dddd")</f>
        <v>Sunday</v>
      </c>
      <c r="W8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2" spans="1:23" x14ac:dyDescent="0.25">
      <c r="A802">
        <v>810</v>
      </c>
      <c r="B802" s="1">
        <v>40580</v>
      </c>
      <c r="C802">
        <v>1</v>
      </c>
      <c r="D802" t="str">
        <f>TEXT(mergedcleandataset[[#This Row],[dteday]],"yyyy")</f>
        <v>2011</v>
      </c>
      <c r="E802">
        <v>2</v>
      </c>
      <c r="F802">
        <v>4</v>
      </c>
      <c r="G802" t="b">
        <v>0</v>
      </c>
      <c r="H802">
        <v>0</v>
      </c>
      <c r="I802">
        <v>1</v>
      </c>
      <c r="J802">
        <v>0.26</v>
      </c>
      <c r="K802">
        <v>0.2273</v>
      </c>
      <c r="L802">
        <v>0.6</v>
      </c>
      <c r="M802">
        <v>0.35820000000000002</v>
      </c>
      <c r="N802">
        <v>0</v>
      </c>
      <c r="O802">
        <v>2</v>
      </c>
      <c r="P802">
        <v>2</v>
      </c>
      <c r="Q802" s="2">
        <f>DATE(mergedcleandataset[[#This Row],[yr]],mergedcleandataset[[#This Row],[mnth]],mergedcleandataset[[#This Row],[day]])</f>
        <v>40580</v>
      </c>
      <c r="R802">
        <f>DAY(mergedcleandataset[[#This Row],[dteday]])</f>
        <v>6</v>
      </c>
      <c r="S802" t="str">
        <f>IF(mergedcleandataset[[#This Row],[weekday]]&gt;=5,"Yes","No")</f>
        <v>No</v>
      </c>
      <c r="T802" t="b">
        <f>ISBLANK(mergedcleandataset[[#This Row],[atemp]])</f>
        <v>0</v>
      </c>
      <c r="U802" t="str">
        <f t="shared" si="12"/>
        <v>Spring</v>
      </c>
      <c r="V802" t="str">
        <f>TEXT(mergedcleandataset[[#This Row],[date]],"dddd")</f>
        <v>Sunday</v>
      </c>
      <c r="W80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3" spans="1:23" x14ac:dyDescent="0.25">
      <c r="A803">
        <v>811</v>
      </c>
      <c r="B803" s="1">
        <v>40580</v>
      </c>
      <c r="C803">
        <v>1</v>
      </c>
      <c r="D803" t="str">
        <f>TEXT(mergedcleandataset[[#This Row],[dteday]],"yyyy")</f>
        <v>2011</v>
      </c>
      <c r="E803">
        <v>2</v>
      </c>
      <c r="F803">
        <v>5</v>
      </c>
      <c r="G803" t="b">
        <v>0</v>
      </c>
      <c r="H803">
        <v>0</v>
      </c>
      <c r="I803">
        <v>1</v>
      </c>
      <c r="J803">
        <v>0.26</v>
      </c>
      <c r="K803">
        <v>0.2576</v>
      </c>
      <c r="L803">
        <v>0.6</v>
      </c>
      <c r="M803">
        <v>0.22389999999999999</v>
      </c>
      <c r="N803">
        <v>0</v>
      </c>
      <c r="O803">
        <v>1</v>
      </c>
      <c r="P803">
        <v>1</v>
      </c>
      <c r="Q803" s="2">
        <f>DATE(mergedcleandataset[[#This Row],[yr]],mergedcleandataset[[#This Row],[mnth]],mergedcleandataset[[#This Row],[day]])</f>
        <v>40580</v>
      </c>
      <c r="R803">
        <f>DAY(mergedcleandataset[[#This Row],[dteday]])</f>
        <v>6</v>
      </c>
      <c r="S803" t="str">
        <f>IF(mergedcleandataset[[#This Row],[weekday]]&gt;=5,"Yes","No")</f>
        <v>No</v>
      </c>
      <c r="T803" t="b">
        <f>ISBLANK(mergedcleandataset[[#This Row],[atemp]])</f>
        <v>0</v>
      </c>
      <c r="U803" t="str">
        <f t="shared" si="12"/>
        <v>Spring</v>
      </c>
      <c r="V803" t="str">
        <f>TEXT(mergedcleandataset[[#This Row],[date]],"dddd")</f>
        <v>Sunday</v>
      </c>
      <c r="W80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4" spans="1:23" x14ac:dyDescent="0.25">
      <c r="A804">
        <v>812</v>
      </c>
      <c r="B804" s="1">
        <v>40580</v>
      </c>
      <c r="C804">
        <v>1</v>
      </c>
      <c r="D804" t="str">
        <f>TEXT(mergedcleandataset[[#This Row],[dteday]],"yyyy")</f>
        <v>2011</v>
      </c>
      <c r="E804">
        <v>2</v>
      </c>
      <c r="F804">
        <v>6</v>
      </c>
      <c r="G804" t="b">
        <v>0</v>
      </c>
      <c r="H804">
        <v>0</v>
      </c>
      <c r="I804">
        <v>1</v>
      </c>
      <c r="J804">
        <v>0.26</v>
      </c>
      <c r="K804">
        <v>0.2576</v>
      </c>
      <c r="L804">
        <v>0.6</v>
      </c>
      <c r="M804">
        <v>0.22389999999999999</v>
      </c>
      <c r="N804">
        <v>0</v>
      </c>
      <c r="O804">
        <v>1</v>
      </c>
      <c r="P804">
        <v>1</v>
      </c>
      <c r="Q804" s="2">
        <f>DATE(mergedcleandataset[[#This Row],[yr]],mergedcleandataset[[#This Row],[mnth]],mergedcleandataset[[#This Row],[day]])</f>
        <v>40580</v>
      </c>
      <c r="R804">
        <f>DAY(mergedcleandataset[[#This Row],[dteday]])</f>
        <v>6</v>
      </c>
      <c r="S804" t="str">
        <f>IF(mergedcleandataset[[#This Row],[weekday]]&gt;=5,"Yes","No")</f>
        <v>No</v>
      </c>
      <c r="T804" t="b">
        <f>ISBLANK(mergedcleandataset[[#This Row],[atemp]])</f>
        <v>0</v>
      </c>
      <c r="U804" t="str">
        <f t="shared" si="12"/>
        <v>Spring</v>
      </c>
      <c r="V804" t="str">
        <f>TEXT(mergedcleandataset[[#This Row],[date]],"dddd")</f>
        <v>Sunday</v>
      </c>
      <c r="W80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5" spans="1:23" x14ac:dyDescent="0.25">
      <c r="A805">
        <v>813</v>
      </c>
      <c r="B805" s="1">
        <v>40580</v>
      </c>
      <c r="C805">
        <v>1</v>
      </c>
      <c r="D805" t="str">
        <f>TEXT(mergedcleandataset[[#This Row],[dteday]],"yyyy")</f>
        <v>2011</v>
      </c>
      <c r="E805">
        <v>2</v>
      </c>
      <c r="F805">
        <v>7</v>
      </c>
      <c r="G805" t="b">
        <v>0</v>
      </c>
      <c r="H805">
        <v>0</v>
      </c>
      <c r="I805">
        <v>1</v>
      </c>
      <c r="J805">
        <v>0.24</v>
      </c>
      <c r="K805">
        <v>0.2424</v>
      </c>
      <c r="L805">
        <v>0.65</v>
      </c>
      <c r="M805">
        <v>0.16420000000000001</v>
      </c>
      <c r="N805">
        <v>0</v>
      </c>
      <c r="O805">
        <v>8</v>
      </c>
      <c r="P805">
        <v>8</v>
      </c>
      <c r="Q805" s="2">
        <f>DATE(mergedcleandataset[[#This Row],[yr]],mergedcleandataset[[#This Row],[mnth]],mergedcleandataset[[#This Row],[day]])</f>
        <v>40580</v>
      </c>
      <c r="R805">
        <f>DAY(mergedcleandataset[[#This Row],[dteday]])</f>
        <v>6</v>
      </c>
      <c r="S805" t="str">
        <f>IF(mergedcleandataset[[#This Row],[weekday]]&gt;=5,"Yes","No")</f>
        <v>No</v>
      </c>
      <c r="T805" t="b">
        <f>ISBLANK(mergedcleandataset[[#This Row],[atemp]])</f>
        <v>0</v>
      </c>
      <c r="U805" t="str">
        <f t="shared" si="12"/>
        <v>Spring</v>
      </c>
      <c r="V805" t="str">
        <f>TEXT(mergedcleandataset[[#This Row],[date]],"dddd")</f>
        <v>Sunday</v>
      </c>
      <c r="W80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6" spans="1:23" x14ac:dyDescent="0.25">
      <c r="A806">
        <v>814</v>
      </c>
      <c r="B806" s="1">
        <v>40580</v>
      </c>
      <c r="C806">
        <v>1</v>
      </c>
      <c r="D806" t="str">
        <f>TEXT(mergedcleandataset[[#This Row],[dteday]],"yyyy")</f>
        <v>2011</v>
      </c>
      <c r="E806">
        <v>2</v>
      </c>
      <c r="F806">
        <v>8</v>
      </c>
      <c r="G806" t="b">
        <v>0</v>
      </c>
      <c r="H806">
        <v>0</v>
      </c>
      <c r="I806">
        <v>1</v>
      </c>
      <c r="J806">
        <v>0.24</v>
      </c>
      <c r="K806">
        <v>0.2576</v>
      </c>
      <c r="L806">
        <v>0.65</v>
      </c>
      <c r="M806">
        <v>0.1045</v>
      </c>
      <c r="N806">
        <v>2</v>
      </c>
      <c r="O806">
        <v>21</v>
      </c>
      <c r="P806">
        <v>23</v>
      </c>
      <c r="Q806" s="2">
        <f>DATE(mergedcleandataset[[#This Row],[yr]],mergedcleandataset[[#This Row],[mnth]],mergedcleandataset[[#This Row],[day]])</f>
        <v>40580</v>
      </c>
      <c r="R806">
        <f>DAY(mergedcleandataset[[#This Row],[dteday]])</f>
        <v>6</v>
      </c>
      <c r="S806" t="str">
        <f>IF(mergedcleandataset[[#This Row],[weekday]]&gt;=5,"Yes","No")</f>
        <v>No</v>
      </c>
      <c r="T806" t="b">
        <f>ISBLANK(mergedcleandataset[[#This Row],[atemp]])</f>
        <v>0</v>
      </c>
      <c r="U806" t="str">
        <f t="shared" si="12"/>
        <v>Spring</v>
      </c>
      <c r="V806" t="str">
        <f>TEXT(mergedcleandataset[[#This Row],[date]],"dddd")</f>
        <v>Sunday</v>
      </c>
      <c r="W80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7" spans="1:23" x14ac:dyDescent="0.25">
      <c r="A807">
        <v>815</v>
      </c>
      <c r="B807" s="1">
        <v>40580</v>
      </c>
      <c r="C807">
        <v>1</v>
      </c>
      <c r="D807" t="str">
        <f>TEXT(mergedcleandataset[[#This Row],[dteday]],"yyyy")</f>
        <v>2011</v>
      </c>
      <c r="E807">
        <v>2</v>
      </c>
      <c r="F807">
        <v>9</v>
      </c>
      <c r="G807" t="b">
        <v>0</v>
      </c>
      <c r="H807">
        <v>0</v>
      </c>
      <c r="I807">
        <v>1</v>
      </c>
      <c r="J807">
        <v>0.28000000000000003</v>
      </c>
      <c r="K807">
        <v>0.28789999999999999</v>
      </c>
      <c r="L807">
        <v>0.56000000000000005</v>
      </c>
      <c r="M807">
        <v>0.1045</v>
      </c>
      <c r="N807">
        <v>7</v>
      </c>
      <c r="O807">
        <v>38</v>
      </c>
      <c r="P807">
        <v>45</v>
      </c>
      <c r="Q807" s="2">
        <f>DATE(mergedcleandataset[[#This Row],[yr]],mergedcleandataset[[#This Row],[mnth]],mergedcleandataset[[#This Row],[day]])</f>
        <v>40580</v>
      </c>
      <c r="R807">
        <f>DAY(mergedcleandataset[[#This Row],[dteday]])</f>
        <v>6</v>
      </c>
      <c r="S807" t="str">
        <f>IF(mergedcleandataset[[#This Row],[weekday]]&gt;=5,"Yes","No")</f>
        <v>No</v>
      </c>
      <c r="T807" t="b">
        <f>ISBLANK(mergedcleandataset[[#This Row],[atemp]])</f>
        <v>0</v>
      </c>
      <c r="U807" t="str">
        <f t="shared" si="12"/>
        <v>Spring</v>
      </c>
      <c r="V807" t="str">
        <f>TEXT(mergedcleandataset[[#This Row],[date]],"dddd")</f>
        <v>Sunday</v>
      </c>
      <c r="W80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8" spans="1:23" x14ac:dyDescent="0.25">
      <c r="A808">
        <v>816</v>
      </c>
      <c r="B808" s="1">
        <v>40580</v>
      </c>
      <c r="C808">
        <v>1</v>
      </c>
      <c r="D808" t="str">
        <f>TEXT(mergedcleandataset[[#This Row],[dteday]],"yyyy")</f>
        <v>2011</v>
      </c>
      <c r="E808">
        <v>2</v>
      </c>
      <c r="F808">
        <v>10</v>
      </c>
      <c r="G808" t="b">
        <v>0</v>
      </c>
      <c r="H808">
        <v>0</v>
      </c>
      <c r="I808">
        <v>1</v>
      </c>
      <c r="J808">
        <v>0.3</v>
      </c>
      <c r="K808">
        <v>0.28789999999999999</v>
      </c>
      <c r="L808">
        <v>0.52</v>
      </c>
      <c r="M808">
        <v>0.25369999999999998</v>
      </c>
      <c r="N808">
        <v>15</v>
      </c>
      <c r="O808">
        <v>74</v>
      </c>
      <c r="P808">
        <v>89</v>
      </c>
      <c r="Q808" s="2">
        <f>DATE(mergedcleandataset[[#This Row],[yr]],mergedcleandataset[[#This Row],[mnth]],mergedcleandataset[[#This Row],[day]])</f>
        <v>40580</v>
      </c>
      <c r="R808">
        <f>DAY(mergedcleandataset[[#This Row],[dteday]])</f>
        <v>6</v>
      </c>
      <c r="S808" t="str">
        <f>IF(mergedcleandataset[[#This Row],[weekday]]&gt;=5,"Yes","No")</f>
        <v>No</v>
      </c>
      <c r="T808" t="b">
        <f>ISBLANK(mergedcleandataset[[#This Row],[atemp]])</f>
        <v>0</v>
      </c>
      <c r="U808" t="str">
        <f t="shared" si="12"/>
        <v>Spring</v>
      </c>
      <c r="V808" t="str">
        <f>TEXT(mergedcleandataset[[#This Row],[date]],"dddd")</f>
        <v>Sunday</v>
      </c>
      <c r="W80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09" spans="1:23" x14ac:dyDescent="0.25">
      <c r="A809">
        <v>817</v>
      </c>
      <c r="B809" s="1">
        <v>40580</v>
      </c>
      <c r="C809">
        <v>1</v>
      </c>
      <c r="D809" t="str">
        <f>TEXT(mergedcleandataset[[#This Row],[dteday]],"yyyy")</f>
        <v>2011</v>
      </c>
      <c r="E809">
        <v>2</v>
      </c>
      <c r="F809">
        <v>11</v>
      </c>
      <c r="G809" t="b">
        <v>0</v>
      </c>
      <c r="H809">
        <v>0</v>
      </c>
      <c r="I809">
        <v>1</v>
      </c>
      <c r="J809">
        <v>0.32</v>
      </c>
      <c r="K809">
        <v>0.30299999999999999</v>
      </c>
      <c r="L809">
        <v>0.49</v>
      </c>
      <c r="M809">
        <v>0.25369999999999998</v>
      </c>
      <c r="N809">
        <v>28</v>
      </c>
      <c r="O809">
        <v>89</v>
      </c>
      <c r="P809">
        <v>117</v>
      </c>
      <c r="Q809" s="2">
        <f>DATE(mergedcleandataset[[#This Row],[yr]],mergedcleandataset[[#This Row],[mnth]],mergedcleandataset[[#This Row],[day]])</f>
        <v>40580</v>
      </c>
      <c r="R809">
        <f>DAY(mergedcleandataset[[#This Row],[dteday]])</f>
        <v>6</v>
      </c>
      <c r="S809" t="str">
        <f>IF(mergedcleandataset[[#This Row],[weekday]]&gt;=5,"Yes","No")</f>
        <v>No</v>
      </c>
      <c r="T809" t="b">
        <f>ISBLANK(mergedcleandataset[[#This Row],[atemp]])</f>
        <v>0</v>
      </c>
      <c r="U809" t="str">
        <f t="shared" si="12"/>
        <v>Spring</v>
      </c>
      <c r="V809" t="str">
        <f>TEXT(mergedcleandataset[[#This Row],[date]],"dddd")</f>
        <v>Sunday</v>
      </c>
      <c r="W80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0" spans="1:23" x14ac:dyDescent="0.25">
      <c r="A810">
        <v>818</v>
      </c>
      <c r="B810" s="1">
        <v>40580</v>
      </c>
      <c r="C810">
        <v>1</v>
      </c>
      <c r="D810" t="str">
        <f>TEXT(mergedcleandataset[[#This Row],[dteday]],"yyyy")</f>
        <v>2011</v>
      </c>
      <c r="E810">
        <v>2</v>
      </c>
      <c r="F810">
        <v>12</v>
      </c>
      <c r="G810" t="b">
        <v>0</v>
      </c>
      <c r="H810">
        <v>0</v>
      </c>
      <c r="I810">
        <v>1</v>
      </c>
      <c r="J810">
        <v>0.34</v>
      </c>
      <c r="K810">
        <v>0.33329999999999999</v>
      </c>
      <c r="L810">
        <v>0.46</v>
      </c>
      <c r="M810">
        <v>0</v>
      </c>
      <c r="N810">
        <v>48</v>
      </c>
      <c r="O810">
        <v>126</v>
      </c>
      <c r="P810">
        <v>174</v>
      </c>
      <c r="Q810" s="2">
        <f>DATE(mergedcleandataset[[#This Row],[yr]],mergedcleandataset[[#This Row],[mnth]],mergedcleandataset[[#This Row],[day]])</f>
        <v>40580</v>
      </c>
      <c r="R810">
        <f>DAY(mergedcleandataset[[#This Row],[dteday]])</f>
        <v>6</v>
      </c>
      <c r="S810" t="str">
        <f>IF(mergedcleandataset[[#This Row],[weekday]]&gt;=5,"Yes","No")</f>
        <v>No</v>
      </c>
      <c r="T810" t="b">
        <f>ISBLANK(mergedcleandataset[[#This Row],[atemp]])</f>
        <v>0</v>
      </c>
      <c r="U810" t="str">
        <f t="shared" si="12"/>
        <v>Spring</v>
      </c>
      <c r="V810" t="str">
        <f>TEXT(mergedcleandataset[[#This Row],[date]],"dddd")</f>
        <v>Sunday</v>
      </c>
      <c r="W8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1" spans="1:23" x14ac:dyDescent="0.25">
      <c r="A811">
        <v>819</v>
      </c>
      <c r="B811" s="1">
        <v>40580</v>
      </c>
      <c r="C811">
        <v>1</v>
      </c>
      <c r="D811" t="str">
        <f>TEXT(mergedcleandataset[[#This Row],[dteday]],"yyyy")</f>
        <v>2011</v>
      </c>
      <c r="E811">
        <v>2</v>
      </c>
      <c r="F811">
        <v>13</v>
      </c>
      <c r="G811" t="b">
        <v>0</v>
      </c>
      <c r="H811">
        <v>0</v>
      </c>
      <c r="I811">
        <v>1</v>
      </c>
      <c r="J811">
        <v>0.34</v>
      </c>
      <c r="K811">
        <v>0.36359999999999998</v>
      </c>
      <c r="L811">
        <v>0.46</v>
      </c>
      <c r="M811">
        <v>0</v>
      </c>
      <c r="N811">
        <v>47</v>
      </c>
      <c r="O811">
        <v>135</v>
      </c>
      <c r="P811">
        <v>182</v>
      </c>
      <c r="Q811" s="2">
        <f>DATE(mergedcleandataset[[#This Row],[yr]],mergedcleandataset[[#This Row],[mnth]],mergedcleandataset[[#This Row],[day]])</f>
        <v>40580</v>
      </c>
      <c r="R811">
        <f>DAY(mergedcleandataset[[#This Row],[dteday]])</f>
        <v>6</v>
      </c>
      <c r="S811" t="str">
        <f>IF(mergedcleandataset[[#This Row],[weekday]]&gt;=5,"Yes","No")</f>
        <v>No</v>
      </c>
      <c r="T811" t="b">
        <f>ISBLANK(mergedcleandataset[[#This Row],[atemp]])</f>
        <v>0</v>
      </c>
      <c r="U811" t="str">
        <f t="shared" si="12"/>
        <v>Spring</v>
      </c>
      <c r="V811" t="str">
        <f>TEXT(mergedcleandataset[[#This Row],[date]],"dddd")</f>
        <v>Sunday</v>
      </c>
      <c r="W8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2" spans="1:23" x14ac:dyDescent="0.25">
      <c r="A812">
        <v>820</v>
      </c>
      <c r="B812" s="1">
        <v>40580</v>
      </c>
      <c r="C812">
        <v>1</v>
      </c>
      <c r="D812" t="str">
        <f>TEXT(mergedcleandataset[[#This Row],[dteday]],"yyyy")</f>
        <v>2011</v>
      </c>
      <c r="E812">
        <v>2</v>
      </c>
      <c r="F812">
        <v>14</v>
      </c>
      <c r="G812" t="b">
        <v>0</v>
      </c>
      <c r="H812">
        <v>0</v>
      </c>
      <c r="I812">
        <v>1</v>
      </c>
      <c r="J812">
        <v>0.34</v>
      </c>
      <c r="K812">
        <v>0.34849999999999998</v>
      </c>
      <c r="L812">
        <v>0.46</v>
      </c>
      <c r="M812">
        <v>8.9599999999999999E-2</v>
      </c>
      <c r="N812">
        <v>47</v>
      </c>
      <c r="O812">
        <v>114</v>
      </c>
      <c r="P812">
        <v>161</v>
      </c>
      <c r="Q812" s="2">
        <f>DATE(mergedcleandataset[[#This Row],[yr]],mergedcleandataset[[#This Row],[mnth]],mergedcleandataset[[#This Row],[day]])</f>
        <v>40580</v>
      </c>
      <c r="R812">
        <f>DAY(mergedcleandataset[[#This Row],[dteday]])</f>
        <v>6</v>
      </c>
      <c r="S812" t="str">
        <f>IF(mergedcleandataset[[#This Row],[weekday]]&gt;=5,"Yes","No")</f>
        <v>No</v>
      </c>
      <c r="T812" t="b">
        <f>ISBLANK(mergedcleandataset[[#This Row],[atemp]])</f>
        <v>0</v>
      </c>
      <c r="U812" t="str">
        <f t="shared" si="12"/>
        <v>Spring</v>
      </c>
      <c r="V812" t="str">
        <f>TEXT(mergedcleandataset[[#This Row],[date]],"dddd")</f>
        <v>Sunday</v>
      </c>
      <c r="W8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3" spans="1:23" x14ac:dyDescent="0.25">
      <c r="A813">
        <v>821</v>
      </c>
      <c r="B813" s="1">
        <v>40580</v>
      </c>
      <c r="C813">
        <v>1</v>
      </c>
      <c r="D813" t="str">
        <f>TEXT(mergedcleandataset[[#This Row],[dteday]],"yyyy")</f>
        <v>2011</v>
      </c>
      <c r="E813">
        <v>2</v>
      </c>
      <c r="F813">
        <v>15</v>
      </c>
      <c r="G813" t="b">
        <v>0</v>
      </c>
      <c r="H813">
        <v>0</v>
      </c>
      <c r="I813">
        <v>1</v>
      </c>
      <c r="J813">
        <v>0.34</v>
      </c>
      <c r="K813">
        <v>0.34849999999999998</v>
      </c>
      <c r="L813">
        <v>0.46</v>
      </c>
      <c r="M813">
        <v>8.9599999999999999E-2</v>
      </c>
      <c r="N813">
        <v>52</v>
      </c>
      <c r="O813">
        <v>130</v>
      </c>
      <c r="P813">
        <v>182</v>
      </c>
      <c r="Q813" s="2">
        <f>DATE(mergedcleandataset[[#This Row],[yr]],mergedcleandataset[[#This Row],[mnth]],mergedcleandataset[[#This Row],[day]])</f>
        <v>40580</v>
      </c>
      <c r="R813">
        <f>DAY(mergedcleandataset[[#This Row],[dteday]])</f>
        <v>6</v>
      </c>
      <c r="S813" t="str">
        <f>IF(mergedcleandataset[[#This Row],[weekday]]&gt;=5,"Yes","No")</f>
        <v>No</v>
      </c>
      <c r="T813" t="b">
        <f>ISBLANK(mergedcleandataset[[#This Row],[atemp]])</f>
        <v>0</v>
      </c>
      <c r="U813" t="str">
        <f t="shared" si="12"/>
        <v>Spring</v>
      </c>
      <c r="V813" t="str">
        <f>TEXT(mergedcleandataset[[#This Row],[date]],"dddd")</f>
        <v>Sunday</v>
      </c>
      <c r="W8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4" spans="1:23" x14ac:dyDescent="0.25">
      <c r="A814">
        <v>822</v>
      </c>
      <c r="B814" s="1">
        <v>40580</v>
      </c>
      <c r="C814">
        <v>1</v>
      </c>
      <c r="D814" t="str">
        <f>TEXT(mergedcleandataset[[#This Row],[dteday]],"yyyy")</f>
        <v>2011</v>
      </c>
      <c r="E814">
        <v>2</v>
      </c>
      <c r="F814">
        <v>16</v>
      </c>
      <c r="G814" t="b">
        <v>0</v>
      </c>
      <c r="H814">
        <v>0</v>
      </c>
      <c r="I814">
        <v>1</v>
      </c>
      <c r="J814">
        <v>0.34</v>
      </c>
      <c r="K814">
        <v>0.34849999999999998</v>
      </c>
      <c r="L814">
        <v>0.49</v>
      </c>
      <c r="M814">
        <v>0.1045</v>
      </c>
      <c r="N814">
        <v>42</v>
      </c>
      <c r="O814">
        <v>115</v>
      </c>
      <c r="P814">
        <v>157</v>
      </c>
      <c r="Q814" s="2">
        <f>DATE(mergedcleandataset[[#This Row],[yr]],mergedcleandataset[[#This Row],[mnth]],mergedcleandataset[[#This Row],[day]])</f>
        <v>40580</v>
      </c>
      <c r="R814">
        <f>DAY(mergedcleandataset[[#This Row],[dteday]])</f>
        <v>6</v>
      </c>
      <c r="S814" t="str">
        <f>IF(mergedcleandataset[[#This Row],[weekday]]&gt;=5,"Yes","No")</f>
        <v>No</v>
      </c>
      <c r="T814" t="b">
        <f>ISBLANK(mergedcleandataset[[#This Row],[atemp]])</f>
        <v>0</v>
      </c>
      <c r="U814" t="str">
        <f t="shared" si="12"/>
        <v>Spring</v>
      </c>
      <c r="V814" t="str">
        <f>TEXT(mergedcleandataset[[#This Row],[date]],"dddd")</f>
        <v>Sunday</v>
      </c>
      <c r="W8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5" spans="1:23" x14ac:dyDescent="0.25">
      <c r="A815">
        <v>823</v>
      </c>
      <c r="B815" s="1">
        <v>40580</v>
      </c>
      <c r="C815">
        <v>1</v>
      </c>
      <c r="D815" t="str">
        <f>TEXT(mergedcleandataset[[#This Row],[dteday]],"yyyy")</f>
        <v>2011</v>
      </c>
      <c r="E815">
        <v>2</v>
      </c>
      <c r="F815">
        <v>17</v>
      </c>
      <c r="G815" t="b">
        <v>0</v>
      </c>
      <c r="H815">
        <v>0</v>
      </c>
      <c r="I815">
        <v>1</v>
      </c>
      <c r="J815">
        <v>0.34</v>
      </c>
      <c r="K815">
        <v>0.36359999999999998</v>
      </c>
      <c r="L815">
        <v>0.46</v>
      </c>
      <c r="M815">
        <v>0</v>
      </c>
      <c r="N815">
        <v>24</v>
      </c>
      <c r="O815">
        <v>97</v>
      </c>
      <c r="P815">
        <v>121</v>
      </c>
      <c r="Q815" s="2">
        <f>DATE(mergedcleandataset[[#This Row],[yr]],mergedcleandataset[[#This Row],[mnth]],mergedcleandataset[[#This Row],[day]])</f>
        <v>40580</v>
      </c>
      <c r="R815">
        <f>DAY(mergedcleandataset[[#This Row],[dteday]])</f>
        <v>6</v>
      </c>
      <c r="S815" t="str">
        <f>IF(mergedcleandataset[[#This Row],[weekday]]&gt;=5,"Yes","No")</f>
        <v>No</v>
      </c>
      <c r="T815" t="b">
        <f>ISBLANK(mergedcleandataset[[#This Row],[atemp]])</f>
        <v>0</v>
      </c>
      <c r="U815" t="str">
        <f t="shared" si="12"/>
        <v>Spring</v>
      </c>
      <c r="V815" t="str">
        <f>TEXT(mergedcleandataset[[#This Row],[date]],"dddd")</f>
        <v>Sunday</v>
      </c>
      <c r="W8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6" spans="1:23" x14ac:dyDescent="0.25">
      <c r="A816">
        <v>824</v>
      </c>
      <c r="B816" s="1">
        <v>40580</v>
      </c>
      <c r="C816">
        <v>1</v>
      </c>
      <c r="D816" t="str">
        <f>TEXT(mergedcleandataset[[#This Row],[dteday]],"yyyy")</f>
        <v>2011</v>
      </c>
      <c r="E816">
        <v>2</v>
      </c>
      <c r="F816">
        <v>18</v>
      </c>
      <c r="G816" t="b">
        <v>0</v>
      </c>
      <c r="H816">
        <v>0</v>
      </c>
      <c r="I816">
        <v>1</v>
      </c>
      <c r="J816">
        <v>0.3</v>
      </c>
      <c r="K816">
        <v>0.30299999999999999</v>
      </c>
      <c r="L816">
        <v>0.56000000000000005</v>
      </c>
      <c r="M816">
        <v>0.16420000000000001</v>
      </c>
      <c r="N816">
        <v>13</v>
      </c>
      <c r="O816">
        <v>65</v>
      </c>
      <c r="P816">
        <v>78</v>
      </c>
      <c r="Q816" s="2">
        <f>DATE(mergedcleandataset[[#This Row],[yr]],mergedcleandataset[[#This Row],[mnth]],mergedcleandataset[[#This Row],[day]])</f>
        <v>40580</v>
      </c>
      <c r="R816">
        <f>DAY(mergedcleandataset[[#This Row],[dteday]])</f>
        <v>6</v>
      </c>
      <c r="S816" t="str">
        <f>IF(mergedcleandataset[[#This Row],[weekday]]&gt;=5,"Yes","No")</f>
        <v>No</v>
      </c>
      <c r="T816" t="b">
        <f>ISBLANK(mergedcleandataset[[#This Row],[atemp]])</f>
        <v>0</v>
      </c>
      <c r="U816" t="str">
        <f t="shared" si="12"/>
        <v>Spring</v>
      </c>
      <c r="V816" t="str">
        <f>TEXT(mergedcleandataset[[#This Row],[date]],"dddd")</f>
        <v>Sunday</v>
      </c>
      <c r="W8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7" spans="1:23" x14ac:dyDescent="0.25">
      <c r="A817">
        <v>825</v>
      </c>
      <c r="B817" s="1">
        <v>40580</v>
      </c>
      <c r="C817">
        <v>1</v>
      </c>
      <c r="D817" t="str">
        <f>TEXT(mergedcleandataset[[#This Row],[dteday]],"yyyy")</f>
        <v>2011</v>
      </c>
      <c r="E817">
        <v>2</v>
      </c>
      <c r="F817">
        <v>19</v>
      </c>
      <c r="G817" t="b">
        <v>0</v>
      </c>
      <c r="H817">
        <v>0</v>
      </c>
      <c r="I817">
        <v>1</v>
      </c>
      <c r="J817">
        <v>0.28000000000000003</v>
      </c>
      <c r="K817">
        <v>0.28789999999999999</v>
      </c>
      <c r="L817">
        <v>0.61</v>
      </c>
      <c r="M817">
        <v>0.1343</v>
      </c>
      <c r="N817">
        <v>1</v>
      </c>
      <c r="O817">
        <v>20</v>
      </c>
      <c r="P817">
        <v>21</v>
      </c>
      <c r="Q817" s="2">
        <f>DATE(mergedcleandataset[[#This Row],[yr]],mergedcleandataset[[#This Row],[mnth]],mergedcleandataset[[#This Row],[day]])</f>
        <v>40580</v>
      </c>
      <c r="R817">
        <f>DAY(mergedcleandataset[[#This Row],[dteday]])</f>
        <v>6</v>
      </c>
      <c r="S817" t="str">
        <f>IF(mergedcleandataset[[#This Row],[weekday]]&gt;=5,"Yes","No")</f>
        <v>No</v>
      </c>
      <c r="T817" t="b">
        <f>ISBLANK(mergedcleandataset[[#This Row],[atemp]])</f>
        <v>0</v>
      </c>
      <c r="U817" t="str">
        <f t="shared" si="12"/>
        <v>Spring</v>
      </c>
      <c r="V817" t="str">
        <f>TEXT(mergedcleandataset[[#This Row],[date]],"dddd")</f>
        <v>Sunday</v>
      </c>
      <c r="W8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8" spans="1:23" x14ac:dyDescent="0.25">
      <c r="A818">
        <v>826</v>
      </c>
      <c r="B818" s="1">
        <v>40580</v>
      </c>
      <c r="C818">
        <v>1</v>
      </c>
      <c r="D818" t="str">
        <f>TEXT(mergedcleandataset[[#This Row],[dteday]],"yyyy")</f>
        <v>2011</v>
      </c>
      <c r="E818">
        <v>2</v>
      </c>
      <c r="F818">
        <v>20</v>
      </c>
      <c r="G818" t="b">
        <v>0</v>
      </c>
      <c r="H818">
        <v>0</v>
      </c>
      <c r="I818">
        <v>1</v>
      </c>
      <c r="J818">
        <v>0.28000000000000003</v>
      </c>
      <c r="K818">
        <v>0.28789999999999999</v>
      </c>
      <c r="L818">
        <v>0.61</v>
      </c>
      <c r="M818">
        <v>0.1045</v>
      </c>
      <c r="N818">
        <v>5</v>
      </c>
      <c r="O818">
        <v>21</v>
      </c>
      <c r="P818">
        <v>26</v>
      </c>
      <c r="Q818" s="2">
        <f>DATE(mergedcleandataset[[#This Row],[yr]],mergedcleandataset[[#This Row],[mnth]],mergedcleandataset[[#This Row],[day]])</f>
        <v>40580</v>
      </c>
      <c r="R818">
        <f>DAY(mergedcleandataset[[#This Row],[dteday]])</f>
        <v>6</v>
      </c>
      <c r="S818" t="str">
        <f>IF(mergedcleandataset[[#This Row],[weekday]]&gt;=5,"Yes","No")</f>
        <v>No</v>
      </c>
      <c r="T818" t="b">
        <f>ISBLANK(mergedcleandataset[[#This Row],[atemp]])</f>
        <v>0</v>
      </c>
      <c r="U818" t="str">
        <f t="shared" si="12"/>
        <v>Spring</v>
      </c>
      <c r="V818" t="str">
        <f>TEXT(mergedcleandataset[[#This Row],[date]],"dddd")</f>
        <v>Sunday</v>
      </c>
      <c r="W8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19" spans="1:23" x14ac:dyDescent="0.25">
      <c r="A819">
        <v>827</v>
      </c>
      <c r="B819" s="1">
        <v>40580</v>
      </c>
      <c r="C819">
        <v>1</v>
      </c>
      <c r="D819" t="str">
        <f>TEXT(mergedcleandataset[[#This Row],[dteday]],"yyyy")</f>
        <v>2011</v>
      </c>
      <c r="E819">
        <v>2</v>
      </c>
      <c r="F819">
        <v>21</v>
      </c>
      <c r="G819" t="b">
        <v>0</v>
      </c>
      <c r="H819">
        <v>0</v>
      </c>
      <c r="I819">
        <v>1</v>
      </c>
      <c r="J819">
        <v>0.26</v>
      </c>
      <c r="K819">
        <v>0.30299999999999999</v>
      </c>
      <c r="L819">
        <v>0.6</v>
      </c>
      <c r="M819">
        <v>0</v>
      </c>
      <c r="N819">
        <v>5</v>
      </c>
      <c r="O819">
        <v>22</v>
      </c>
      <c r="P819">
        <v>27</v>
      </c>
      <c r="Q819" s="2">
        <f>DATE(mergedcleandataset[[#This Row],[yr]],mergedcleandataset[[#This Row],[mnth]],mergedcleandataset[[#This Row],[day]])</f>
        <v>40580</v>
      </c>
      <c r="R819">
        <f>DAY(mergedcleandataset[[#This Row],[dteday]])</f>
        <v>6</v>
      </c>
      <c r="S819" t="str">
        <f>IF(mergedcleandataset[[#This Row],[weekday]]&gt;=5,"Yes","No")</f>
        <v>No</v>
      </c>
      <c r="T819" t="b">
        <f>ISBLANK(mergedcleandataset[[#This Row],[atemp]])</f>
        <v>0</v>
      </c>
      <c r="U819" t="str">
        <f t="shared" si="12"/>
        <v>Spring</v>
      </c>
      <c r="V819" t="str">
        <f>TEXT(mergedcleandataset[[#This Row],[date]],"dddd")</f>
        <v>Sunday</v>
      </c>
      <c r="W8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0" spans="1:23" x14ac:dyDescent="0.25">
      <c r="A820">
        <v>828</v>
      </c>
      <c r="B820" s="1">
        <v>40580</v>
      </c>
      <c r="C820">
        <v>1</v>
      </c>
      <c r="D820" t="str">
        <f>TEXT(mergedcleandataset[[#This Row],[dteday]],"yyyy")</f>
        <v>2011</v>
      </c>
      <c r="E820">
        <v>2</v>
      </c>
      <c r="F820">
        <v>22</v>
      </c>
      <c r="G820" t="b">
        <v>0</v>
      </c>
      <c r="H820">
        <v>0</v>
      </c>
      <c r="I820">
        <v>1</v>
      </c>
      <c r="J820">
        <v>0.26</v>
      </c>
      <c r="K820">
        <v>0.30299999999999999</v>
      </c>
      <c r="L820">
        <v>0.6</v>
      </c>
      <c r="M820">
        <v>0</v>
      </c>
      <c r="N820">
        <v>5</v>
      </c>
      <c r="O820">
        <v>57</v>
      </c>
      <c r="P820">
        <v>62</v>
      </c>
      <c r="Q820" s="2">
        <f>DATE(mergedcleandataset[[#This Row],[yr]],mergedcleandataset[[#This Row],[mnth]],mergedcleandataset[[#This Row],[day]])</f>
        <v>40580</v>
      </c>
      <c r="R820">
        <f>DAY(mergedcleandataset[[#This Row],[dteday]])</f>
        <v>6</v>
      </c>
      <c r="S820" t="str">
        <f>IF(mergedcleandataset[[#This Row],[weekday]]&gt;=5,"Yes","No")</f>
        <v>No</v>
      </c>
      <c r="T820" t="b">
        <f>ISBLANK(mergedcleandataset[[#This Row],[atemp]])</f>
        <v>0</v>
      </c>
      <c r="U820" t="str">
        <f t="shared" si="12"/>
        <v>Spring</v>
      </c>
      <c r="V820" t="str">
        <f>TEXT(mergedcleandataset[[#This Row],[date]],"dddd")</f>
        <v>Sunday</v>
      </c>
      <c r="W82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1" spans="1:23" x14ac:dyDescent="0.25">
      <c r="A821">
        <v>829</v>
      </c>
      <c r="B821" s="1">
        <v>40580</v>
      </c>
      <c r="C821">
        <v>1</v>
      </c>
      <c r="D821" t="str">
        <f>TEXT(mergedcleandataset[[#This Row],[dteday]],"yyyy")</f>
        <v>2011</v>
      </c>
      <c r="E821">
        <v>2</v>
      </c>
      <c r="F821">
        <v>23</v>
      </c>
      <c r="G821" t="b">
        <v>0</v>
      </c>
      <c r="H821">
        <v>0</v>
      </c>
      <c r="I821">
        <v>1</v>
      </c>
      <c r="J821">
        <v>0.24</v>
      </c>
      <c r="K821">
        <v>0.28789999999999999</v>
      </c>
      <c r="L821">
        <v>0.65</v>
      </c>
      <c r="M821">
        <v>0</v>
      </c>
      <c r="N821">
        <v>4</v>
      </c>
      <c r="O821">
        <v>26</v>
      </c>
      <c r="P821">
        <v>30</v>
      </c>
      <c r="Q821" s="2">
        <f>DATE(mergedcleandataset[[#This Row],[yr]],mergedcleandataset[[#This Row],[mnth]],mergedcleandataset[[#This Row],[day]])</f>
        <v>40580</v>
      </c>
      <c r="R821">
        <f>DAY(mergedcleandataset[[#This Row],[dteday]])</f>
        <v>6</v>
      </c>
      <c r="S821" t="str">
        <f>IF(mergedcleandataset[[#This Row],[weekday]]&gt;=5,"Yes","No")</f>
        <v>No</v>
      </c>
      <c r="T821" t="b">
        <f>ISBLANK(mergedcleandataset[[#This Row],[atemp]])</f>
        <v>0</v>
      </c>
      <c r="U821" t="str">
        <f t="shared" si="12"/>
        <v>Spring</v>
      </c>
      <c r="V821" t="str">
        <f>TEXT(mergedcleandataset[[#This Row],[date]],"dddd")</f>
        <v>Sunday</v>
      </c>
      <c r="W82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2" spans="1:23" x14ac:dyDescent="0.25">
      <c r="A822">
        <v>830</v>
      </c>
      <c r="B822" s="1">
        <v>40581</v>
      </c>
      <c r="C822">
        <v>1</v>
      </c>
      <c r="D822" t="str">
        <f>TEXT(mergedcleandataset[[#This Row],[dteday]],"yyyy")</f>
        <v>2011</v>
      </c>
      <c r="E822">
        <v>2</v>
      </c>
      <c r="F822">
        <v>0</v>
      </c>
      <c r="G822" t="b">
        <v>0</v>
      </c>
      <c r="H822">
        <v>1</v>
      </c>
      <c r="I822">
        <v>1</v>
      </c>
      <c r="J822">
        <v>0.24</v>
      </c>
      <c r="K822">
        <v>0.28789999999999999</v>
      </c>
      <c r="L822">
        <v>0.65</v>
      </c>
      <c r="M822">
        <v>0</v>
      </c>
      <c r="N822">
        <v>1</v>
      </c>
      <c r="O822">
        <v>14</v>
      </c>
      <c r="P822">
        <v>15</v>
      </c>
      <c r="Q822" s="2">
        <f>DATE(mergedcleandataset[[#This Row],[yr]],mergedcleandataset[[#This Row],[mnth]],mergedcleandataset[[#This Row],[day]])</f>
        <v>40581</v>
      </c>
      <c r="R822">
        <f>DAY(mergedcleandataset[[#This Row],[dteday]])</f>
        <v>7</v>
      </c>
      <c r="S822" t="str">
        <f>IF(mergedcleandataset[[#This Row],[weekday]]&gt;=5,"Yes","No")</f>
        <v>No</v>
      </c>
      <c r="T822" t="b">
        <f>ISBLANK(mergedcleandataset[[#This Row],[atemp]])</f>
        <v>0</v>
      </c>
      <c r="U822" t="str">
        <f t="shared" si="12"/>
        <v>Spring</v>
      </c>
      <c r="V822" t="str">
        <f>TEXT(mergedcleandataset[[#This Row],[date]],"dddd")</f>
        <v>Monday</v>
      </c>
      <c r="W82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3" spans="1:23" x14ac:dyDescent="0.25">
      <c r="A823">
        <v>831</v>
      </c>
      <c r="B823" s="1">
        <v>40581</v>
      </c>
      <c r="C823">
        <v>1</v>
      </c>
      <c r="D823" t="str">
        <f>TEXT(mergedcleandataset[[#This Row],[dteday]],"yyyy")</f>
        <v>2011</v>
      </c>
      <c r="E823">
        <v>2</v>
      </c>
      <c r="F823">
        <v>1</v>
      </c>
      <c r="G823" t="b">
        <v>0</v>
      </c>
      <c r="H823">
        <v>1</v>
      </c>
      <c r="I823">
        <v>1</v>
      </c>
      <c r="J823">
        <v>0.22</v>
      </c>
      <c r="K823">
        <v>0.2727</v>
      </c>
      <c r="L823">
        <v>0.75</v>
      </c>
      <c r="M823">
        <v>0</v>
      </c>
      <c r="N823">
        <v>1</v>
      </c>
      <c r="O823">
        <v>4</v>
      </c>
      <c r="P823">
        <v>5</v>
      </c>
      <c r="Q823" s="2">
        <f>DATE(mergedcleandataset[[#This Row],[yr]],mergedcleandataset[[#This Row],[mnth]],mergedcleandataset[[#This Row],[day]])</f>
        <v>40581</v>
      </c>
      <c r="R823">
        <f>DAY(mergedcleandataset[[#This Row],[dteday]])</f>
        <v>7</v>
      </c>
      <c r="S823" t="str">
        <f>IF(mergedcleandataset[[#This Row],[weekday]]&gt;=5,"Yes","No")</f>
        <v>No</v>
      </c>
      <c r="T823" t="b">
        <f>ISBLANK(mergedcleandataset[[#This Row],[atemp]])</f>
        <v>0</v>
      </c>
      <c r="U823" t="str">
        <f t="shared" si="12"/>
        <v>Spring</v>
      </c>
      <c r="V823" t="str">
        <f>TEXT(mergedcleandataset[[#This Row],[date]],"dddd")</f>
        <v>Monday</v>
      </c>
      <c r="W82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4" spans="1:23" x14ac:dyDescent="0.25">
      <c r="A824">
        <v>832</v>
      </c>
      <c r="B824" s="1">
        <v>40581</v>
      </c>
      <c r="C824">
        <v>1</v>
      </c>
      <c r="D824" t="str">
        <f>TEXT(mergedcleandataset[[#This Row],[dteday]],"yyyy")</f>
        <v>2011</v>
      </c>
      <c r="E824">
        <v>2</v>
      </c>
      <c r="F824">
        <v>2</v>
      </c>
      <c r="G824" t="b">
        <v>0</v>
      </c>
      <c r="H824">
        <v>1</v>
      </c>
      <c r="I824">
        <v>1</v>
      </c>
      <c r="J824">
        <v>0.2</v>
      </c>
      <c r="K824">
        <v>0.2576</v>
      </c>
      <c r="L824">
        <v>0.8</v>
      </c>
      <c r="M824">
        <v>0</v>
      </c>
      <c r="N824">
        <v>0</v>
      </c>
      <c r="O824">
        <v>3</v>
      </c>
      <c r="P824">
        <v>3</v>
      </c>
      <c r="Q824" s="2">
        <f>DATE(mergedcleandataset[[#This Row],[yr]],mergedcleandataset[[#This Row],[mnth]],mergedcleandataset[[#This Row],[day]])</f>
        <v>40581</v>
      </c>
      <c r="R824">
        <f>DAY(mergedcleandataset[[#This Row],[dteday]])</f>
        <v>7</v>
      </c>
      <c r="S824" t="str">
        <f>IF(mergedcleandataset[[#This Row],[weekday]]&gt;=5,"Yes","No")</f>
        <v>No</v>
      </c>
      <c r="T824" t="b">
        <f>ISBLANK(mergedcleandataset[[#This Row],[atemp]])</f>
        <v>0</v>
      </c>
      <c r="U824" t="str">
        <f t="shared" si="12"/>
        <v>Spring</v>
      </c>
      <c r="V824" t="str">
        <f>TEXT(mergedcleandataset[[#This Row],[date]],"dddd")</f>
        <v>Monday</v>
      </c>
      <c r="W82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5" spans="1:23" x14ac:dyDescent="0.25">
      <c r="A825">
        <v>833</v>
      </c>
      <c r="B825" s="1">
        <v>40581</v>
      </c>
      <c r="C825">
        <v>1</v>
      </c>
      <c r="D825" t="str">
        <f>TEXT(mergedcleandataset[[#This Row],[dteday]],"yyyy")</f>
        <v>2011</v>
      </c>
      <c r="E825">
        <v>2</v>
      </c>
      <c r="F825">
        <v>3</v>
      </c>
      <c r="G825" t="b">
        <v>0</v>
      </c>
      <c r="H825">
        <v>1</v>
      </c>
      <c r="I825">
        <v>1</v>
      </c>
      <c r="J825">
        <v>0.2</v>
      </c>
      <c r="K825">
        <v>0.2576</v>
      </c>
      <c r="L825">
        <v>0.86</v>
      </c>
      <c r="M825">
        <v>0</v>
      </c>
      <c r="N825">
        <v>0</v>
      </c>
      <c r="O825">
        <v>1</v>
      </c>
      <c r="P825">
        <v>1</v>
      </c>
      <c r="Q825" s="2">
        <f>DATE(mergedcleandataset[[#This Row],[yr]],mergedcleandataset[[#This Row],[mnth]],mergedcleandataset[[#This Row],[day]])</f>
        <v>40581</v>
      </c>
      <c r="R825">
        <f>DAY(mergedcleandataset[[#This Row],[dteday]])</f>
        <v>7</v>
      </c>
      <c r="S825" t="str">
        <f>IF(mergedcleandataset[[#This Row],[weekday]]&gt;=5,"Yes","No")</f>
        <v>No</v>
      </c>
      <c r="T825" t="b">
        <f>ISBLANK(mergedcleandataset[[#This Row],[atemp]])</f>
        <v>0</v>
      </c>
      <c r="U825" t="str">
        <f t="shared" si="12"/>
        <v>Spring</v>
      </c>
      <c r="V825" t="str">
        <f>TEXT(mergedcleandataset[[#This Row],[date]],"dddd")</f>
        <v>Monday</v>
      </c>
      <c r="W82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6" spans="1:23" x14ac:dyDescent="0.25">
      <c r="A826">
        <v>834</v>
      </c>
      <c r="B826" s="1">
        <v>40581</v>
      </c>
      <c r="C826">
        <v>1</v>
      </c>
      <c r="D826" t="str">
        <f>TEXT(mergedcleandataset[[#This Row],[dteday]],"yyyy")</f>
        <v>2011</v>
      </c>
      <c r="E826">
        <v>2</v>
      </c>
      <c r="F826">
        <v>4</v>
      </c>
      <c r="G826" t="b">
        <v>0</v>
      </c>
      <c r="H826">
        <v>1</v>
      </c>
      <c r="I826">
        <v>1</v>
      </c>
      <c r="J826">
        <v>0.2</v>
      </c>
      <c r="K826">
        <v>0.2576</v>
      </c>
      <c r="L826">
        <v>0.86</v>
      </c>
      <c r="M826">
        <v>0</v>
      </c>
      <c r="N826">
        <v>1</v>
      </c>
      <c r="O826">
        <v>1</v>
      </c>
      <c r="P826">
        <v>2</v>
      </c>
      <c r="Q826" s="2">
        <f>DATE(mergedcleandataset[[#This Row],[yr]],mergedcleandataset[[#This Row],[mnth]],mergedcleandataset[[#This Row],[day]])</f>
        <v>40581</v>
      </c>
      <c r="R826">
        <f>DAY(mergedcleandataset[[#This Row],[dteday]])</f>
        <v>7</v>
      </c>
      <c r="S826" t="str">
        <f>IF(mergedcleandataset[[#This Row],[weekday]]&gt;=5,"Yes","No")</f>
        <v>No</v>
      </c>
      <c r="T826" t="b">
        <f>ISBLANK(mergedcleandataset[[#This Row],[atemp]])</f>
        <v>0</v>
      </c>
      <c r="U826" t="str">
        <f t="shared" si="12"/>
        <v>Spring</v>
      </c>
      <c r="V826" t="str">
        <f>TEXT(mergedcleandataset[[#This Row],[date]],"dddd")</f>
        <v>Monday</v>
      </c>
      <c r="W8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7" spans="1:23" x14ac:dyDescent="0.25">
      <c r="A827">
        <v>835</v>
      </c>
      <c r="B827" s="1">
        <v>40581</v>
      </c>
      <c r="C827">
        <v>1</v>
      </c>
      <c r="D827" t="str">
        <f>TEXT(mergedcleandataset[[#This Row],[dteday]],"yyyy")</f>
        <v>2011</v>
      </c>
      <c r="E827">
        <v>2</v>
      </c>
      <c r="F827">
        <v>5</v>
      </c>
      <c r="G827" t="b">
        <v>0</v>
      </c>
      <c r="H827">
        <v>1</v>
      </c>
      <c r="I827">
        <v>1</v>
      </c>
      <c r="J827">
        <v>0.2</v>
      </c>
      <c r="K827">
        <v>0.2576</v>
      </c>
      <c r="L827">
        <v>0.86</v>
      </c>
      <c r="M827">
        <v>0</v>
      </c>
      <c r="N827">
        <v>1</v>
      </c>
      <c r="O827">
        <v>9</v>
      </c>
      <c r="P827">
        <v>10</v>
      </c>
      <c r="Q827" s="2">
        <f>DATE(mergedcleandataset[[#This Row],[yr]],mergedcleandataset[[#This Row],[mnth]],mergedcleandataset[[#This Row],[day]])</f>
        <v>40581</v>
      </c>
      <c r="R827">
        <f>DAY(mergedcleandataset[[#This Row],[dteday]])</f>
        <v>7</v>
      </c>
      <c r="S827" t="str">
        <f>IF(mergedcleandataset[[#This Row],[weekday]]&gt;=5,"Yes","No")</f>
        <v>No</v>
      </c>
      <c r="T827" t="b">
        <f>ISBLANK(mergedcleandataset[[#This Row],[atemp]])</f>
        <v>0</v>
      </c>
      <c r="U827" t="str">
        <f t="shared" si="12"/>
        <v>Spring</v>
      </c>
      <c r="V827" t="str">
        <f>TEXT(mergedcleandataset[[#This Row],[date]],"dddd")</f>
        <v>Monday</v>
      </c>
      <c r="W8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8" spans="1:23" x14ac:dyDescent="0.25">
      <c r="A828">
        <v>836</v>
      </c>
      <c r="B828" s="1">
        <v>40581</v>
      </c>
      <c r="C828">
        <v>1</v>
      </c>
      <c r="D828" t="str">
        <f>TEXT(mergedcleandataset[[#This Row],[dteday]],"yyyy")</f>
        <v>2011</v>
      </c>
      <c r="E828">
        <v>2</v>
      </c>
      <c r="F828">
        <v>6</v>
      </c>
      <c r="G828" t="b">
        <v>0</v>
      </c>
      <c r="H828">
        <v>1</v>
      </c>
      <c r="I828">
        <v>1</v>
      </c>
      <c r="J828">
        <v>0.18</v>
      </c>
      <c r="K828">
        <v>0.2424</v>
      </c>
      <c r="L828">
        <v>0.93</v>
      </c>
      <c r="M828">
        <v>0</v>
      </c>
      <c r="N828">
        <v>1</v>
      </c>
      <c r="O828">
        <v>29</v>
      </c>
      <c r="P828">
        <v>30</v>
      </c>
      <c r="Q828" s="2">
        <f>DATE(mergedcleandataset[[#This Row],[yr]],mergedcleandataset[[#This Row],[mnth]],mergedcleandataset[[#This Row],[day]])</f>
        <v>40581</v>
      </c>
      <c r="R828">
        <f>DAY(mergedcleandataset[[#This Row],[dteday]])</f>
        <v>7</v>
      </c>
      <c r="S828" t="str">
        <f>IF(mergedcleandataset[[#This Row],[weekday]]&gt;=5,"Yes","No")</f>
        <v>No</v>
      </c>
      <c r="T828" t="b">
        <f>ISBLANK(mergedcleandataset[[#This Row],[atemp]])</f>
        <v>0</v>
      </c>
      <c r="U828" t="str">
        <f t="shared" si="12"/>
        <v>Spring</v>
      </c>
      <c r="V828" t="str">
        <f>TEXT(mergedcleandataset[[#This Row],[date]],"dddd")</f>
        <v>Monday</v>
      </c>
      <c r="W8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29" spans="1:23" x14ac:dyDescent="0.25">
      <c r="A829">
        <v>837</v>
      </c>
      <c r="B829" s="1">
        <v>40581</v>
      </c>
      <c r="C829">
        <v>1</v>
      </c>
      <c r="D829" t="str">
        <f>TEXT(mergedcleandataset[[#This Row],[dteday]],"yyyy")</f>
        <v>2011</v>
      </c>
      <c r="E829">
        <v>2</v>
      </c>
      <c r="F829">
        <v>7</v>
      </c>
      <c r="G829" t="b">
        <v>0</v>
      </c>
      <c r="H829">
        <v>1</v>
      </c>
      <c r="I829">
        <v>1</v>
      </c>
      <c r="J829">
        <v>0.18</v>
      </c>
      <c r="K829">
        <v>0.2424</v>
      </c>
      <c r="L829">
        <v>0.86</v>
      </c>
      <c r="M829">
        <v>0</v>
      </c>
      <c r="N829">
        <v>6</v>
      </c>
      <c r="O829">
        <v>89</v>
      </c>
      <c r="P829">
        <v>95</v>
      </c>
      <c r="Q829" s="2">
        <f>DATE(mergedcleandataset[[#This Row],[yr]],mergedcleandataset[[#This Row],[mnth]],mergedcleandataset[[#This Row],[day]])</f>
        <v>40581</v>
      </c>
      <c r="R829">
        <f>DAY(mergedcleandataset[[#This Row],[dteday]])</f>
        <v>7</v>
      </c>
      <c r="S829" t="str">
        <f>IF(mergedcleandataset[[#This Row],[weekday]]&gt;=5,"Yes","No")</f>
        <v>No</v>
      </c>
      <c r="T829" t="b">
        <f>ISBLANK(mergedcleandataset[[#This Row],[atemp]])</f>
        <v>0</v>
      </c>
      <c r="U829" t="str">
        <f t="shared" si="12"/>
        <v>Spring</v>
      </c>
      <c r="V829" t="str">
        <f>TEXT(mergedcleandataset[[#This Row],[date]],"dddd")</f>
        <v>Monday</v>
      </c>
      <c r="W8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30" spans="1:23" x14ac:dyDescent="0.25">
      <c r="A830">
        <v>838</v>
      </c>
      <c r="B830" s="1">
        <v>40581</v>
      </c>
      <c r="C830">
        <v>1</v>
      </c>
      <c r="D830" t="str">
        <f>TEXT(mergedcleandataset[[#This Row],[dteday]],"yyyy")</f>
        <v>2011</v>
      </c>
      <c r="E830">
        <v>2</v>
      </c>
      <c r="F830">
        <v>8</v>
      </c>
      <c r="G830" t="b">
        <v>0</v>
      </c>
      <c r="H830">
        <v>1</v>
      </c>
      <c r="I830">
        <v>2</v>
      </c>
      <c r="J830">
        <v>0.16</v>
      </c>
      <c r="K830">
        <v>0.2273</v>
      </c>
      <c r="L830">
        <v>1</v>
      </c>
      <c r="M830">
        <v>0</v>
      </c>
      <c r="N830">
        <v>7</v>
      </c>
      <c r="O830">
        <v>223</v>
      </c>
      <c r="P830">
        <v>230</v>
      </c>
      <c r="Q830" s="2">
        <f>DATE(mergedcleandataset[[#This Row],[yr]],mergedcleandataset[[#This Row],[mnth]],mergedcleandataset[[#This Row],[day]])</f>
        <v>40581</v>
      </c>
      <c r="R830">
        <f>DAY(mergedcleandataset[[#This Row],[dteday]])</f>
        <v>7</v>
      </c>
      <c r="S830" t="str">
        <f>IF(mergedcleandataset[[#This Row],[weekday]]&gt;=5,"Yes","No")</f>
        <v>No</v>
      </c>
      <c r="T830" t="b">
        <f>ISBLANK(mergedcleandataset[[#This Row],[atemp]])</f>
        <v>0</v>
      </c>
      <c r="U830" t="str">
        <f t="shared" si="12"/>
        <v>Spring</v>
      </c>
      <c r="V830" t="str">
        <f>TEXT(mergedcleandataset[[#This Row],[date]],"dddd")</f>
        <v>Monday</v>
      </c>
      <c r="W83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31" spans="1:23" x14ac:dyDescent="0.25">
      <c r="A831">
        <v>839</v>
      </c>
      <c r="B831" s="1">
        <v>40581</v>
      </c>
      <c r="C831">
        <v>1</v>
      </c>
      <c r="D831" t="str">
        <f>TEXT(mergedcleandataset[[#This Row],[dteday]],"yyyy")</f>
        <v>2011</v>
      </c>
      <c r="E831">
        <v>2</v>
      </c>
      <c r="F831">
        <v>9</v>
      </c>
      <c r="G831" t="b">
        <v>0</v>
      </c>
      <c r="H831">
        <v>1</v>
      </c>
      <c r="I831">
        <v>1</v>
      </c>
      <c r="J831">
        <v>0.22</v>
      </c>
      <c r="K831">
        <v>0.2727</v>
      </c>
      <c r="L831">
        <v>0.8</v>
      </c>
      <c r="M831">
        <v>0</v>
      </c>
      <c r="N831">
        <v>3</v>
      </c>
      <c r="O831">
        <v>115</v>
      </c>
      <c r="P831">
        <v>118</v>
      </c>
      <c r="Q831" s="2">
        <f>DATE(mergedcleandataset[[#This Row],[yr]],mergedcleandataset[[#This Row],[mnth]],mergedcleandataset[[#This Row],[day]])</f>
        <v>40581</v>
      </c>
      <c r="R831">
        <f>DAY(mergedcleandataset[[#This Row],[dteday]])</f>
        <v>7</v>
      </c>
      <c r="S831" t="str">
        <f>IF(mergedcleandataset[[#This Row],[weekday]]&gt;=5,"Yes","No")</f>
        <v>No</v>
      </c>
      <c r="T831" t="b">
        <f>ISBLANK(mergedcleandataset[[#This Row],[atemp]])</f>
        <v>0</v>
      </c>
      <c r="U831" t="str">
        <f t="shared" si="12"/>
        <v>Spring</v>
      </c>
      <c r="V831" t="str">
        <f>TEXT(mergedcleandataset[[#This Row],[date]],"dddd")</f>
        <v>Monday</v>
      </c>
      <c r="W8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32" spans="1:23" x14ac:dyDescent="0.25">
      <c r="A832">
        <v>840</v>
      </c>
      <c r="B832" s="1">
        <v>40581</v>
      </c>
      <c r="C832">
        <v>1</v>
      </c>
      <c r="D832" t="str">
        <f>TEXT(mergedcleandataset[[#This Row],[dteday]],"yyyy")</f>
        <v>2011</v>
      </c>
      <c r="E832">
        <v>2</v>
      </c>
      <c r="F832">
        <v>10</v>
      </c>
      <c r="G832" t="b">
        <v>0</v>
      </c>
      <c r="H832">
        <v>1</v>
      </c>
      <c r="I832">
        <v>1</v>
      </c>
      <c r="J832">
        <v>0.24</v>
      </c>
      <c r="K832">
        <v>0.2576</v>
      </c>
      <c r="L832">
        <v>0.75</v>
      </c>
      <c r="M832">
        <v>0.1045</v>
      </c>
      <c r="N832">
        <v>6</v>
      </c>
      <c r="O832">
        <v>49</v>
      </c>
      <c r="P832">
        <v>55</v>
      </c>
      <c r="Q832" s="2">
        <f>DATE(mergedcleandataset[[#This Row],[yr]],mergedcleandataset[[#This Row],[mnth]],mergedcleandataset[[#This Row],[day]])</f>
        <v>40581</v>
      </c>
      <c r="R832">
        <f>DAY(mergedcleandataset[[#This Row],[dteday]])</f>
        <v>7</v>
      </c>
      <c r="S832" t="str">
        <f>IF(mergedcleandataset[[#This Row],[weekday]]&gt;=5,"Yes","No")</f>
        <v>No</v>
      </c>
      <c r="T832" t="b">
        <f>ISBLANK(mergedcleandataset[[#This Row],[atemp]])</f>
        <v>0</v>
      </c>
      <c r="U832" t="str">
        <f t="shared" si="12"/>
        <v>Spring</v>
      </c>
      <c r="V832" t="str">
        <f>TEXT(mergedcleandataset[[#This Row],[date]],"dddd")</f>
        <v>Monday</v>
      </c>
      <c r="W8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33" spans="1:23" x14ac:dyDescent="0.25">
      <c r="A833">
        <v>841</v>
      </c>
      <c r="B833" s="1">
        <v>40581</v>
      </c>
      <c r="C833">
        <v>1</v>
      </c>
      <c r="D833" t="str">
        <f>TEXT(mergedcleandataset[[#This Row],[dteday]],"yyyy")</f>
        <v>2011</v>
      </c>
      <c r="E833">
        <v>2</v>
      </c>
      <c r="F833">
        <v>11</v>
      </c>
      <c r="G833" t="b">
        <v>0</v>
      </c>
      <c r="H833">
        <v>1</v>
      </c>
      <c r="I833">
        <v>1</v>
      </c>
      <c r="J833">
        <v>0.3</v>
      </c>
      <c r="K833">
        <v>0.31819999999999998</v>
      </c>
      <c r="L833">
        <v>0.65</v>
      </c>
      <c r="M833">
        <v>8.9599999999999999E-2</v>
      </c>
      <c r="N833">
        <v>11</v>
      </c>
      <c r="O833">
        <v>36</v>
      </c>
      <c r="P833">
        <v>47</v>
      </c>
      <c r="Q833" s="2">
        <f>DATE(mergedcleandataset[[#This Row],[yr]],mergedcleandataset[[#This Row],[mnth]],mergedcleandataset[[#This Row],[day]])</f>
        <v>40581</v>
      </c>
      <c r="R833">
        <f>DAY(mergedcleandataset[[#This Row],[dteday]])</f>
        <v>7</v>
      </c>
      <c r="S833" t="str">
        <f>IF(mergedcleandataset[[#This Row],[weekday]]&gt;=5,"Yes","No")</f>
        <v>No</v>
      </c>
      <c r="T833" t="b">
        <f>ISBLANK(mergedcleandataset[[#This Row],[atemp]])</f>
        <v>0</v>
      </c>
      <c r="U833" t="str">
        <f t="shared" si="12"/>
        <v>Spring</v>
      </c>
      <c r="V833" t="str">
        <f>TEXT(mergedcleandataset[[#This Row],[date]],"dddd")</f>
        <v>Monday</v>
      </c>
      <c r="W8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34" spans="1:23" x14ac:dyDescent="0.25">
      <c r="A834">
        <v>842</v>
      </c>
      <c r="B834" s="1">
        <v>40581</v>
      </c>
      <c r="C834">
        <v>1</v>
      </c>
      <c r="D834" t="str">
        <f>TEXT(mergedcleandataset[[#This Row],[dteday]],"yyyy")</f>
        <v>2011</v>
      </c>
      <c r="E834">
        <v>2</v>
      </c>
      <c r="F834">
        <v>12</v>
      </c>
      <c r="G834" t="b">
        <v>0</v>
      </c>
      <c r="H834">
        <v>1</v>
      </c>
      <c r="I834">
        <v>2</v>
      </c>
      <c r="J834">
        <v>0.32</v>
      </c>
      <c r="K834">
        <v>0.34849999999999998</v>
      </c>
      <c r="L834">
        <v>0.62</v>
      </c>
      <c r="M834">
        <v>0</v>
      </c>
      <c r="N834">
        <v>7</v>
      </c>
      <c r="O834">
        <v>59</v>
      </c>
      <c r="P834">
        <v>66</v>
      </c>
      <c r="Q834" s="2">
        <f>DATE(mergedcleandataset[[#This Row],[yr]],mergedcleandataset[[#This Row],[mnth]],mergedcleandataset[[#This Row],[day]])</f>
        <v>40581</v>
      </c>
      <c r="R834">
        <f>DAY(mergedcleandataset[[#This Row],[dteday]])</f>
        <v>7</v>
      </c>
      <c r="S834" t="str">
        <f>IF(mergedcleandataset[[#This Row],[weekday]]&gt;=5,"Yes","No")</f>
        <v>No</v>
      </c>
      <c r="T834" t="b">
        <f>ISBLANK(mergedcleandataset[[#This Row],[atemp]])</f>
        <v>0</v>
      </c>
      <c r="U834" t="str">
        <f t="shared" ref="U834:U897" si="13">IF(C834=1,"Spring",
IF(C834=2,"Summer",
IF(C834=3,"Fall",
IF(C834=4,"Winter","Unknown"))))</f>
        <v>Spring</v>
      </c>
      <c r="V834" t="str">
        <f>TEXT(mergedcleandataset[[#This Row],[date]],"dddd")</f>
        <v>Monday</v>
      </c>
      <c r="W83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35" spans="1:23" x14ac:dyDescent="0.25">
      <c r="A835">
        <v>843</v>
      </c>
      <c r="B835" s="1">
        <v>40581</v>
      </c>
      <c r="C835">
        <v>1</v>
      </c>
      <c r="D835" t="str">
        <f>TEXT(mergedcleandataset[[#This Row],[dteday]],"yyyy")</f>
        <v>2011</v>
      </c>
      <c r="E835">
        <v>2</v>
      </c>
      <c r="F835">
        <v>13</v>
      </c>
      <c r="G835" t="b">
        <v>0</v>
      </c>
      <c r="H835">
        <v>1</v>
      </c>
      <c r="I835">
        <v>2</v>
      </c>
      <c r="J835">
        <v>0.36</v>
      </c>
      <c r="K835">
        <v>0.36359999999999998</v>
      </c>
      <c r="L835">
        <v>0.56999999999999995</v>
      </c>
      <c r="M835">
        <v>8.9599999999999999E-2</v>
      </c>
      <c r="N835">
        <v>10</v>
      </c>
      <c r="O835">
        <v>54</v>
      </c>
      <c r="P835">
        <v>64</v>
      </c>
      <c r="Q835" s="2">
        <f>DATE(mergedcleandataset[[#This Row],[yr]],mergedcleandataset[[#This Row],[mnth]],mergedcleandataset[[#This Row],[day]])</f>
        <v>40581</v>
      </c>
      <c r="R835">
        <f>DAY(mergedcleandataset[[#This Row],[dteday]])</f>
        <v>7</v>
      </c>
      <c r="S835" t="str">
        <f>IF(mergedcleandataset[[#This Row],[weekday]]&gt;=5,"Yes","No")</f>
        <v>No</v>
      </c>
      <c r="T835" t="b">
        <f>ISBLANK(mergedcleandataset[[#This Row],[atemp]])</f>
        <v>0</v>
      </c>
      <c r="U835" t="str">
        <f t="shared" si="13"/>
        <v>Spring</v>
      </c>
      <c r="V835" t="str">
        <f>TEXT(mergedcleandataset[[#This Row],[date]],"dddd")</f>
        <v>Monday</v>
      </c>
      <c r="W83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36" spans="1:23" x14ac:dyDescent="0.25">
      <c r="A836">
        <v>844</v>
      </c>
      <c r="B836" s="1">
        <v>40581</v>
      </c>
      <c r="C836">
        <v>1</v>
      </c>
      <c r="D836" t="str">
        <f>TEXT(mergedcleandataset[[#This Row],[dteday]],"yyyy")</f>
        <v>2011</v>
      </c>
      <c r="E836">
        <v>2</v>
      </c>
      <c r="F836">
        <v>14</v>
      </c>
      <c r="G836" t="b">
        <v>0</v>
      </c>
      <c r="H836">
        <v>1</v>
      </c>
      <c r="I836">
        <v>2</v>
      </c>
      <c r="J836">
        <v>0.36</v>
      </c>
      <c r="K836">
        <v>0.36359999999999998</v>
      </c>
      <c r="L836">
        <v>0.56999999999999995</v>
      </c>
      <c r="M836">
        <v>8.9599999999999999E-2</v>
      </c>
      <c r="N836">
        <v>8</v>
      </c>
      <c r="O836">
        <v>52</v>
      </c>
      <c r="P836">
        <v>60</v>
      </c>
      <c r="Q836" s="2">
        <f>DATE(mergedcleandataset[[#This Row],[yr]],mergedcleandataset[[#This Row],[mnth]],mergedcleandataset[[#This Row],[day]])</f>
        <v>40581</v>
      </c>
      <c r="R836">
        <f>DAY(mergedcleandataset[[#This Row],[dteday]])</f>
        <v>7</v>
      </c>
      <c r="S836" t="str">
        <f>IF(mergedcleandataset[[#This Row],[weekday]]&gt;=5,"Yes","No")</f>
        <v>No</v>
      </c>
      <c r="T836" t="b">
        <f>ISBLANK(mergedcleandataset[[#This Row],[atemp]])</f>
        <v>0</v>
      </c>
      <c r="U836" t="str">
        <f t="shared" si="13"/>
        <v>Spring</v>
      </c>
      <c r="V836" t="str">
        <f>TEXT(mergedcleandataset[[#This Row],[date]],"dddd")</f>
        <v>Monday</v>
      </c>
      <c r="W83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37" spans="1:23" x14ac:dyDescent="0.25">
      <c r="A837">
        <v>845</v>
      </c>
      <c r="B837" s="1">
        <v>40581</v>
      </c>
      <c r="C837">
        <v>1</v>
      </c>
      <c r="D837" t="str">
        <f>TEXT(mergedcleandataset[[#This Row],[dteday]],"yyyy")</f>
        <v>2011</v>
      </c>
      <c r="E837">
        <v>2</v>
      </c>
      <c r="F837">
        <v>15</v>
      </c>
      <c r="G837" t="b">
        <v>0</v>
      </c>
      <c r="H837">
        <v>1</v>
      </c>
      <c r="I837">
        <v>2</v>
      </c>
      <c r="J837">
        <v>0.38</v>
      </c>
      <c r="K837">
        <v>0.39389999999999997</v>
      </c>
      <c r="L837">
        <v>0.54</v>
      </c>
      <c r="M837">
        <v>8.9599999999999999E-2</v>
      </c>
      <c r="N837">
        <v>4</v>
      </c>
      <c r="O837">
        <v>46</v>
      </c>
      <c r="P837">
        <v>50</v>
      </c>
      <c r="Q837" s="2">
        <f>DATE(mergedcleandataset[[#This Row],[yr]],mergedcleandataset[[#This Row],[mnth]],mergedcleandataset[[#This Row],[day]])</f>
        <v>40581</v>
      </c>
      <c r="R837">
        <f>DAY(mergedcleandataset[[#This Row],[dteday]])</f>
        <v>7</v>
      </c>
      <c r="S837" t="str">
        <f>IF(mergedcleandataset[[#This Row],[weekday]]&gt;=5,"Yes","No")</f>
        <v>No</v>
      </c>
      <c r="T837" t="b">
        <f>ISBLANK(mergedcleandataset[[#This Row],[atemp]])</f>
        <v>0</v>
      </c>
      <c r="U837" t="str">
        <f t="shared" si="13"/>
        <v>Spring</v>
      </c>
      <c r="V837" t="str">
        <f>TEXT(mergedcleandataset[[#This Row],[date]],"dddd")</f>
        <v>Monday</v>
      </c>
      <c r="W83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38" spans="1:23" x14ac:dyDescent="0.25">
      <c r="A838">
        <v>846</v>
      </c>
      <c r="B838" s="1">
        <v>40581</v>
      </c>
      <c r="C838">
        <v>1</v>
      </c>
      <c r="D838" t="str">
        <f>TEXT(mergedcleandataset[[#This Row],[dteday]],"yyyy")</f>
        <v>2011</v>
      </c>
      <c r="E838">
        <v>2</v>
      </c>
      <c r="F838">
        <v>16</v>
      </c>
      <c r="G838" t="b">
        <v>0</v>
      </c>
      <c r="H838">
        <v>1</v>
      </c>
      <c r="I838">
        <v>2</v>
      </c>
      <c r="J838">
        <v>0.36</v>
      </c>
      <c r="K838">
        <v>0.34849999999999998</v>
      </c>
      <c r="L838">
        <v>0.56999999999999995</v>
      </c>
      <c r="M838">
        <v>0.1343</v>
      </c>
      <c r="N838">
        <v>16</v>
      </c>
      <c r="O838">
        <v>98</v>
      </c>
      <c r="P838">
        <v>114</v>
      </c>
      <c r="Q838" s="2">
        <f>DATE(mergedcleandataset[[#This Row],[yr]],mergedcleandataset[[#This Row],[mnth]],mergedcleandataset[[#This Row],[day]])</f>
        <v>40581</v>
      </c>
      <c r="R838">
        <f>DAY(mergedcleandataset[[#This Row],[dteday]])</f>
        <v>7</v>
      </c>
      <c r="S838" t="str">
        <f>IF(mergedcleandataset[[#This Row],[weekday]]&gt;=5,"Yes","No")</f>
        <v>No</v>
      </c>
      <c r="T838" t="b">
        <f>ISBLANK(mergedcleandataset[[#This Row],[atemp]])</f>
        <v>0</v>
      </c>
      <c r="U838" t="str">
        <f t="shared" si="13"/>
        <v>Spring</v>
      </c>
      <c r="V838" t="str">
        <f>TEXT(mergedcleandataset[[#This Row],[date]],"dddd")</f>
        <v>Monday</v>
      </c>
      <c r="W83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39" spans="1:23" x14ac:dyDescent="0.25">
      <c r="A839">
        <v>847</v>
      </c>
      <c r="B839" s="1">
        <v>40581</v>
      </c>
      <c r="C839">
        <v>1</v>
      </c>
      <c r="D839" t="str">
        <f>TEXT(mergedcleandataset[[#This Row],[dteday]],"yyyy")</f>
        <v>2011</v>
      </c>
      <c r="E839">
        <v>2</v>
      </c>
      <c r="F839">
        <v>17</v>
      </c>
      <c r="G839" t="b">
        <v>0</v>
      </c>
      <c r="H839">
        <v>1</v>
      </c>
      <c r="I839">
        <v>2</v>
      </c>
      <c r="J839">
        <v>0.32</v>
      </c>
      <c r="K839">
        <v>0.31819999999999998</v>
      </c>
      <c r="L839">
        <v>0.7</v>
      </c>
      <c r="M839">
        <v>0.16420000000000001</v>
      </c>
      <c r="N839">
        <v>9</v>
      </c>
      <c r="O839">
        <v>207</v>
      </c>
      <c r="P839">
        <v>216</v>
      </c>
      <c r="Q839" s="2">
        <f>DATE(mergedcleandataset[[#This Row],[yr]],mergedcleandataset[[#This Row],[mnth]],mergedcleandataset[[#This Row],[day]])</f>
        <v>40581</v>
      </c>
      <c r="R839">
        <f>DAY(mergedcleandataset[[#This Row],[dteday]])</f>
        <v>7</v>
      </c>
      <c r="S839" t="str">
        <f>IF(mergedcleandataset[[#This Row],[weekday]]&gt;=5,"Yes","No")</f>
        <v>No</v>
      </c>
      <c r="T839" t="b">
        <f>ISBLANK(mergedcleandataset[[#This Row],[atemp]])</f>
        <v>0</v>
      </c>
      <c r="U839" t="str">
        <f t="shared" si="13"/>
        <v>Spring</v>
      </c>
      <c r="V839" t="str">
        <f>TEXT(mergedcleandataset[[#This Row],[date]],"dddd")</f>
        <v>Monday</v>
      </c>
      <c r="W83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0" spans="1:23" x14ac:dyDescent="0.25">
      <c r="A840">
        <v>848</v>
      </c>
      <c r="B840" s="1">
        <v>40581</v>
      </c>
      <c r="C840">
        <v>1</v>
      </c>
      <c r="D840" t="str">
        <f>TEXT(mergedcleandataset[[#This Row],[dteday]],"yyyy")</f>
        <v>2011</v>
      </c>
      <c r="E840">
        <v>2</v>
      </c>
      <c r="F840">
        <v>18</v>
      </c>
      <c r="G840" t="b">
        <v>0</v>
      </c>
      <c r="H840">
        <v>1</v>
      </c>
      <c r="I840">
        <v>2</v>
      </c>
      <c r="J840">
        <v>0.34</v>
      </c>
      <c r="K840">
        <v>0.33329999999999999</v>
      </c>
      <c r="L840">
        <v>0.66</v>
      </c>
      <c r="M840">
        <v>0.1343</v>
      </c>
      <c r="N840">
        <v>5</v>
      </c>
      <c r="O840">
        <v>170</v>
      </c>
      <c r="P840">
        <v>175</v>
      </c>
      <c r="Q840" s="2">
        <f>DATE(mergedcleandataset[[#This Row],[yr]],mergedcleandataset[[#This Row],[mnth]],mergedcleandataset[[#This Row],[day]])</f>
        <v>40581</v>
      </c>
      <c r="R840">
        <f>DAY(mergedcleandataset[[#This Row],[dteday]])</f>
        <v>7</v>
      </c>
      <c r="S840" t="str">
        <f>IF(mergedcleandataset[[#This Row],[weekday]]&gt;=5,"Yes","No")</f>
        <v>No</v>
      </c>
      <c r="T840" t="b">
        <f>ISBLANK(mergedcleandataset[[#This Row],[atemp]])</f>
        <v>0</v>
      </c>
      <c r="U840" t="str">
        <f t="shared" si="13"/>
        <v>Spring</v>
      </c>
      <c r="V840" t="str">
        <f>TEXT(mergedcleandataset[[#This Row],[date]],"dddd")</f>
        <v>Monday</v>
      </c>
      <c r="W84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1" spans="1:23" x14ac:dyDescent="0.25">
      <c r="A841">
        <v>849</v>
      </c>
      <c r="B841" s="1">
        <v>40581</v>
      </c>
      <c r="C841">
        <v>1</v>
      </c>
      <c r="D841" t="str">
        <f>TEXT(mergedcleandataset[[#This Row],[dteday]],"yyyy")</f>
        <v>2011</v>
      </c>
      <c r="E841">
        <v>2</v>
      </c>
      <c r="F841">
        <v>19</v>
      </c>
      <c r="G841" t="b">
        <v>0</v>
      </c>
      <c r="H841">
        <v>1</v>
      </c>
      <c r="I841">
        <v>2</v>
      </c>
      <c r="J841">
        <v>0.32</v>
      </c>
      <c r="K841">
        <v>0.34849999999999998</v>
      </c>
      <c r="L841">
        <v>0.7</v>
      </c>
      <c r="M841">
        <v>0</v>
      </c>
      <c r="N841">
        <v>5</v>
      </c>
      <c r="O841">
        <v>123</v>
      </c>
      <c r="P841">
        <v>128</v>
      </c>
      <c r="Q841" s="2">
        <f>DATE(mergedcleandataset[[#This Row],[yr]],mergedcleandataset[[#This Row],[mnth]],mergedcleandataset[[#This Row],[day]])</f>
        <v>40581</v>
      </c>
      <c r="R841">
        <f>DAY(mergedcleandataset[[#This Row],[dteday]])</f>
        <v>7</v>
      </c>
      <c r="S841" t="str">
        <f>IF(mergedcleandataset[[#This Row],[weekday]]&gt;=5,"Yes","No")</f>
        <v>No</v>
      </c>
      <c r="T841" t="b">
        <f>ISBLANK(mergedcleandataset[[#This Row],[atemp]])</f>
        <v>0</v>
      </c>
      <c r="U841" t="str">
        <f t="shared" si="13"/>
        <v>Spring</v>
      </c>
      <c r="V841" t="str">
        <f>TEXT(mergedcleandataset[[#This Row],[date]],"dddd")</f>
        <v>Monday</v>
      </c>
      <c r="W84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2" spans="1:23" x14ac:dyDescent="0.25">
      <c r="A842">
        <v>850</v>
      </c>
      <c r="B842" s="1">
        <v>40581</v>
      </c>
      <c r="C842">
        <v>1</v>
      </c>
      <c r="D842" t="str">
        <f>TEXT(mergedcleandataset[[#This Row],[dteday]],"yyyy")</f>
        <v>2011</v>
      </c>
      <c r="E842">
        <v>2</v>
      </c>
      <c r="F842">
        <v>20</v>
      </c>
      <c r="G842" t="b">
        <v>0</v>
      </c>
      <c r="H842">
        <v>1</v>
      </c>
      <c r="I842">
        <v>2</v>
      </c>
      <c r="J842">
        <v>0.32</v>
      </c>
      <c r="K842">
        <v>0.33329999999999999</v>
      </c>
      <c r="L842">
        <v>0.7</v>
      </c>
      <c r="M842">
        <v>0.1045</v>
      </c>
      <c r="N842">
        <v>6</v>
      </c>
      <c r="O842">
        <v>82</v>
      </c>
      <c r="P842">
        <v>88</v>
      </c>
      <c r="Q842" s="2">
        <f>DATE(mergedcleandataset[[#This Row],[yr]],mergedcleandataset[[#This Row],[mnth]],mergedcleandataset[[#This Row],[day]])</f>
        <v>40581</v>
      </c>
      <c r="R842">
        <f>DAY(mergedcleandataset[[#This Row],[dteday]])</f>
        <v>7</v>
      </c>
      <c r="S842" t="str">
        <f>IF(mergedcleandataset[[#This Row],[weekday]]&gt;=5,"Yes","No")</f>
        <v>No</v>
      </c>
      <c r="T842" t="b">
        <f>ISBLANK(mergedcleandataset[[#This Row],[atemp]])</f>
        <v>0</v>
      </c>
      <c r="U842" t="str">
        <f t="shared" si="13"/>
        <v>Spring</v>
      </c>
      <c r="V842" t="str">
        <f>TEXT(mergedcleandataset[[#This Row],[date]],"dddd")</f>
        <v>Monday</v>
      </c>
      <c r="W842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3" spans="1:23" x14ac:dyDescent="0.25">
      <c r="A843">
        <v>851</v>
      </c>
      <c r="B843" s="1">
        <v>40581</v>
      </c>
      <c r="C843">
        <v>1</v>
      </c>
      <c r="D843" t="str">
        <f>TEXT(mergedcleandataset[[#This Row],[dteday]],"yyyy")</f>
        <v>2011</v>
      </c>
      <c r="E843">
        <v>2</v>
      </c>
      <c r="F843">
        <v>21</v>
      </c>
      <c r="G843" t="b">
        <v>0</v>
      </c>
      <c r="H843">
        <v>1</v>
      </c>
      <c r="I843">
        <v>1</v>
      </c>
      <c r="J843">
        <v>0.32</v>
      </c>
      <c r="K843">
        <v>0.34849999999999998</v>
      </c>
      <c r="L843">
        <v>0.7</v>
      </c>
      <c r="M843">
        <v>0</v>
      </c>
      <c r="N843">
        <v>3</v>
      </c>
      <c r="O843">
        <v>75</v>
      </c>
      <c r="P843">
        <v>78</v>
      </c>
      <c r="Q843" s="2">
        <f>DATE(mergedcleandataset[[#This Row],[yr]],mergedcleandataset[[#This Row],[mnth]],mergedcleandataset[[#This Row],[day]])</f>
        <v>40581</v>
      </c>
      <c r="R843">
        <f>DAY(mergedcleandataset[[#This Row],[dteday]])</f>
        <v>7</v>
      </c>
      <c r="S843" t="str">
        <f>IF(mergedcleandataset[[#This Row],[weekday]]&gt;=5,"Yes","No")</f>
        <v>No</v>
      </c>
      <c r="T843" t="b">
        <f>ISBLANK(mergedcleandataset[[#This Row],[atemp]])</f>
        <v>0</v>
      </c>
      <c r="U843" t="str">
        <f t="shared" si="13"/>
        <v>Spring</v>
      </c>
      <c r="V843" t="str">
        <f>TEXT(mergedcleandataset[[#This Row],[date]],"dddd")</f>
        <v>Monday</v>
      </c>
      <c r="W84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44" spans="1:23" x14ac:dyDescent="0.25">
      <c r="A844">
        <v>852</v>
      </c>
      <c r="B844" s="1">
        <v>40581</v>
      </c>
      <c r="C844">
        <v>1</v>
      </c>
      <c r="D844" t="str">
        <f>TEXT(mergedcleandataset[[#This Row],[dteday]],"yyyy")</f>
        <v>2011</v>
      </c>
      <c r="E844">
        <v>2</v>
      </c>
      <c r="F844">
        <v>22</v>
      </c>
      <c r="G844" t="b">
        <v>0</v>
      </c>
      <c r="H844">
        <v>1</v>
      </c>
      <c r="I844">
        <v>1</v>
      </c>
      <c r="J844">
        <v>0.28000000000000003</v>
      </c>
      <c r="K844">
        <v>0.30299999999999999</v>
      </c>
      <c r="L844">
        <v>0.81</v>
      </c>
      <c r="M844">
        <v>8.9599999999999999E-2</v>
      </c>
      <c r="N844">
        <v>3</v>
      </c>
      <c r="O844">
        <v>34</v>
      </c>
      <c r="P844">
        <v>37</v>
      </c>
      <c r="Q844" s="2">
        <f>DATE(mergedcleandataset[[#This Row],[yr]],mergedcleandataset[[#This Row],[mnth]],mergedcleandataset[[#This Row],[day]])</f>
        <v>40581</v>
      </c>
      <c r="R844">
        <f>DAY(mergedcleandataset[[#This Row],[dteday]])</f>
        <v>7</v>
      </c>
      <c r="S844" t="str">
        <f>IF(mergedcleandataset[[#This Row],[weekday]]&gt;=5,"Yes","No")</f>
        <v>No</v>
      </c>
      <c r="T844" t="b">
        <f>ISBLANK(mergedcleandataset[[#This Row],[atemp]])</f>
        <v>0</v>
      </c>
      <c r="U844" t="str">
        <f t="shared" si="13"/>
        <v>Spring</v>
      </c>
      <c r="V844" t="str">
        <f>TEXT(mergedcleandataset[[#This Row],[date]],"dddd")</f>
        <v>Monday</v>
      </c>
      <c r="W84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45" spans="1:23" x14ac:dyDescent="0.25">
      <c r="A845">
        <v>853</v>
      </c>
      <c r="B845" s="1">
        <v>40581</v>
      </c>
      <c r="C845">
        <v>1</v>
      </c>
      <c r="D845" t="str">
        <f>TEXT(mergedcleandataset[[#This Row],[dteday]],"yyyy")</f>
        <v>2011</v>
      </c>
      <c r="E845">
        <v>2</v>
      </c>
      <c r="F845">
        <v>23</v>
      </c>
      <c r="G845" t="b">
        <v>0</v>
      </c>
      <c r="H845">
        <v>1</v>
      </c>
      <c r="I845">
        <v>2</v>
      </c>
      <c r="J845">
        <v>0.3</v>
      </c>
      <c r="K845">
        <v>0.33329999999999999</v>
      </c>
      <c r="L845">
        <v>0.81</v>
      </c>
      <c r="M845">
        <v>0</v>
      </c>
      <c r="N845">
        <v>6</v>
      </c>
      <c r="O845">
        <v>19</v>
      </c>
      <c r="P845">
        <v>25</v>
      </c>
      <c r="Q845" s="2">
        <f>DATE(mergedcleandataset[[#This Row],[yr]],mergedcleandataset[[#This Row],[mnth]],mergedcleandataset[[#This Row],[day]])</f>
        <v>40581</v>
      </c>
      <c r="R845">
        <f>DAY(mergedcleandataset[[#This Row],[dteday]])</f>
        <v>7</v>
      </c>
      <c r="S845" t="str">
        <f>IF(mergedcleandataset[[#This Row],[weekday]]&gt;=5,"Yes","No")</f>
        <v>No</v>
      </c>
      <c r="T845" t="b">
        <f>ISBLANK(mergedcleandataset[[#This Row],[atemp]])</f>
        <v>0</v>
      </c>
      <c r="U845" t="str">
        <f t="shared" si="13"/>
        <v>Spring</v>
      </c>
      <c r="V845" t="str">
        <f>TEXT(mergedcleandataset[[#This Row],[date]],"dddd")</f>
        <v>Monday</v>
      </c>
      <c r="W84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6" spans="1:23" x14ac:dyDescent="0.25">
      <c r="A846">
        <v>854</v>
      </c>
      <c r="B846" s="1">
        <v>40582</v>
      </c>
      <c r="C846">
        <v>1</v>
      </c>
      <c r="D846" t="str">
        <f>TEXT(mergedcleandataset[[#This Row],[dteday]],"yyyy")</f>
        <v>2011</v>
      </c>
      <c r="E846">
        <v>2</v>
      </c>
      <c r="F846">
        <v>0</v>
      </c>
      <c r="G846" t="b">
        <v>0</v>
      </c>
      <c r="H846">
        <v>2</v>
      </c>
      <c r="I846">
        <v>2</v>
      </c>
      <c r="J846">
        <v>0.28000000000000003</v>
      </c>
      <c r="K846">
        <v>0.31819999999999998</v>
      </c>
      <c r="L846">
        <v>0.87</v>
      </c>
      <c r="M846">
        <v>0</v>
      </c>
      <c r="N846">
        <v>4</v>
      </c>
      <c r="O846">
        <v>6</v>
      </c>
      <c r="P846">
        <v>10</v>
      </c>
      <c r="Q846" s="2">
        <f>DATE(mergedcleandataset[[#This Row],[yr]],mergedcleandataset[[#This Row],[mnth]],mergedcleandataset[[#This Row],[day]])</f>
        <v>40582</v>
      </c>
      <c r="R846">
        <f>DAY(mergedcleandataset[[#This Row],[dteday]])</f>
        <v>8</v>
      </c>
      <c r="S846" t="str">
        <f>IF(mergedcleandataset[[#This Row],[weekday]]&gt;=5,"Yes","No")</f>
        <v>No</v>
      </c>
      <c r="T846" t="b">
        <f>ISBLANK(mergedcleandataset[[#This Row],[atemp]])</f>
        <v>0</v>
      </c>
      <c r="U846" t="str">
        <f t="shared" si="13"/>
        <v>Spring</v>
      </c>
      <c r="V846" t="str">
        <f>TEXT(mergedcleandataset[[#This Row],[date]],"dddd")</f>
        <v>Tuesday</v>
      </c>
      <c r="W84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7" spans="1:23" x14ac:dyDescent="0.25">
      <c r="A847">
        <v>855</v>
      </c>
      <c r="B847" s="1">
        <v>40582</v>
      </c>
      <c r="C847">
        <v>1</v>
      </c>
      <c r="D847" t="str">
        <f>TEXT(mergedcleandataset[[#This Row],[dteday]],"yyyy")</f>
        <v>2011</v>
      </c>
      <c r="E847">
        <v>2</v>
      </c>
      <c r="F847">
        <v>1</v>
      </c>
      <c r="G847" t="b">
        <v>0</v>
      </c>
      <c r="H847">
        <v>2</v>
      </c>
      <c r="I847">
        <v>2</v>
      </c>
      <c r="J847">
        <v>0.28000000000000003</v>
      </c>
      <c r="K847">
        <v>0.31819999999999998</v>
      </c>
      <c r="L847">
        <v>0.87</v>
      </c>
      <c r="M847">
        <v>0</v>
      </c>
      <c r="N847">
        <v>0</v>
      </c>
      <c r="O847">
        <v>4</v>
      </c>
      <c r="P847">
        <v>4</v>
      </c>
      <c r="Q847" s="2">
        <f>DATE(mergedcleandataset[[#This Row],[yr]],mergedcleandataset[[#This Row],[mnth]],mergedcleandataset[[#This Row],[day]])</f>
        <v>40582</v>
      </c>
      <c r="R847">
        <f>DAY(mergedcleandataset[[#This Row],[dteday]])</f>
        <v>8</v>
      </c>
      <c r="S847" t="str">
        <f>IF(mergedcleandataset[[#This Row],[weekday]]&gt;=5,"Yes","No")</f>
        <v>No</v>
      </c>
      <c r="T847" t="b">
        <f>ISBLANK(mergedcleandataset[[#This Row],[atemp]])</f>
        <v>0</v>
      </c>
      <c r="U847" t="str">
        <f t="shared" si="13"/>
        <v>Spring</v>
      </c>
      <c r="V847" t="str">
        <f>TEXT(mergedcleandataset[[#This Row],[date]],"dddd")</f>
        <v>Tuesday</v>
      </c>
      <c r="W84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8" spans="1:23" x14ac:dyDescent="0.25">
      <c r="A848">
        <v>856</v>
      </c>
      <c r="B848" s="1">
        <v>40582</v>
      </c>
      <c r="C848">
        <v>1</v>
      </c>
      <c r="D848" t="str">
        <f>TEXT(mergedcleandataset[[#This Row],[dteday]],"yyyy")</f>
        <v>2011</v>
      </c>
      <c r="E848">
        <v>2</v>
      </c>
      <c r="F848">
        <v>2</v>
      </c>
      <c r="G848" t="b">
        <v>0</v>
      </c>
      <c r="H848">
        <v>2</v>
      </c>
      <c r="I848">
        <v>2</v>
      </c>
      <c r="J848">
        <v>0.26</v>
      </c>
      <c r="K848">
        <v>0.2727</v>
      </c>
      <c r="L848">
        <v>0.93</v>
      </c>
      <c r="M848">
        <v>0.1045</v>
      </c>
      <c r="N848">
        <v>1</v>
      </c>
      <c r="O848">
        <v>1</v>
      </c>
      <c r="P848">
        <v>2</v>
      </c>
      <c r="Q848" s="2">
        <f>DATE(mergedcleandataset[[#This Row],[yr]],mergedcleandataset[[#This Row],[mnth]],mergedcleandataset[[#This Row],[day]])</f>
        <v>40582</v>
      </c>
      <c r="R848">
        <f>DAY(mergedcleandataset[[#This Row],[dteday]])</f>
        <v>8</v>
      </c>
      <c r="S848" t="str">
        <f>IF(mergedcleandataset[[#This Row],[weekday]]&gt;=5,"Yes","No")</f>
        <v>No</v>
      </c>
      <c r="T848" t="b">
        <f>ISBLANK(mergedcleandataset[[#This Row],[atemp]])</f>
        <v>0</v>
      </c>
      <c r="U848" t="str">
        <f t="shared" si="13"/>
        <v>Spring</v>
      </c>
      <c r="V848" t="str">
        <f>TEXT(mergedcleandataset[[#This Row],[date]],"dddd")</f>
        <v>Tuesday</v>
      </c>
      <c r="W84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49" spans="1:23" x14ac:dyDescent="0.25">
      <c r="A849">
        <v>857</v>
      </c>
      <c r="B849" s="1">
        <v>40582</v>
      </c>
      <c r="C849">
        <v>1</v>
      </c>
      <c r="D849" t="str">
        <f>TEXT(mergedcleandataset[[#This Row],[dteday]],"yyyy")</f>
        <v>2011</v>
      </c>
      <c r="E849">
        <v>2</v>
      </c>
      <c r="F849">
        <v>3</v>
      </c>
      <c r="G849" t="b">
        <v>0</v>
      </c>
      <c r="H849">
        <v>2</v>
      </c>
      <c r="I849">
        <v>3</v>
      </c>
      <c r="J849">
        <v>0.28000000000000003</v>
      </c>
      <c r="K849">
        <v>0.2727</v>
      </c>
      <c r="L849">
        <v>0.93</v>
      </c>
      <c r="M849">
        <v>0.16420000000000001</v>
      </c>
      <c r="N849">
        <v>0</v>
      </c>
      <c r="O849">
        <v>1</v>
      </c>
      <c r="P849">
        <v>1</v>
      </c>
      <c r="Q849" s="2">
        <f>DATE(mergedcleandataset[[#This Row],[yr]],mergedcleandataset[[#This Row],[mnth]],mergedcleandataset[[#This Row],[day]])</f>
        <v>40582</v>
      </c>
      <c r="R849">
        <f>DAY(mergedcleandataset[[#This Row],[dteday]])</f>
        <v>8</v>
      </c>
      <c r="S849" t="str">
        <f>IF(mergedcleandataset[[#This Row],[weekday]]&gt;=5,"Yes","No")</f>
        <v>No</v>
      </c>
      <c r="T849" t="b">
        <f>ISBLANK(mergedcleandataset[[#This Row],[atemp]])</f>
        <v>0</v>
      </c>
      <c r="U849" t="str">
        <f t="shared" si="13"/>
        <v>Spring</v>
      </c>
      <c r="V849" t="str">
        <f>TEXT(mergedcleandataset[[#This Row],[date]],"dddd")</f>
        <v>Tuesday</v>
      </c>
      <c r="W84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50" spans="1:23" x14ac:dyDescent="0.25">
      <c r="A850">
        <v>858</v>
      </c>
      <c r="B850" s="1">
        <v>40582</v>
      </c>
      <c r="C850">
        <v>1</v>
      </c>
      <c r="D850" t="str">
        <f>TEXT(mergedcleandataset[[#This Row],[dteday]],"yyyy")</f>
        <v>2011</v>
      </c>
      <c r="E850">
        <v>2</v>
      </c>
      <c r="F850">
        <v>4</v>
      </c>
      <c r="G850" t="b">
        <v>0</v>
      </c>
      <c r="H850">
        <v>2</v>
      </c>
      <c r="I850">
        <v>1</v>
      </c>
      <c r="J850">
        <v>0.26</v>
      </c>
      <c r="K850">
        <v>0.2576</v>
      </c>
      <c r="L850">
        <v>0.93</v>
      </c>
      <c r="M850">
        <v>0.16420000000000001</v>
      </c>
      <c r="N850">
        <v>0</v>
      </c>
      <c r="O850">
        <v>3</v>
      </c>
      <c r="P850">
        <v>3</v>
      </c>
      <c r="Q850" s="2">
        <f>DATE(mergedcleandataset[[#This Row],[yr]],mergedcleandataset[[#This Row],[mnth]],mergedcleandataset[[#This Row],[day]])</f>
        <v>40582</v>
      </c>
      <c r="R850">
        <f>DAY(mergedcleandataset[[#This Row],[dteday]])</f>
        <v>8</v>
      </c>
      <c r="S850" t="str">
        <f>IF(mergedcleandataset[[#This Row],[weekday]]&gt;=5,"Yes","No")</f>
        <v>No</v>
      </c>
      <c r="T850" t="b">
        <f>ISBLANK(mergedcleandataset[[#This Row],[atemp]])</f>
        <v>0</v>
      </c>
      <c r="U850" t="str">
        <f t="shared" si="13"/>
        <v>Spring</v>
      </c>
      <c r="V850" t="str">
        <f>TEXT(mergedcleandataset[[#This Row],[date]],"dddd")</f>
        <v>Tuesday</v>
      </c>
      <c r="W85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1" spans="1:23" x14ac:dyDescent="0.25">
      <c r="A851">
        <v>859</v>
      </c>
      <c r="B851" s="1">
        <v>40582</v>
      </c>
      <c r="C851">
        <v>1</v>
      </c>
      <c r="D851" t="str">
        <f>TEXT(mergedcleandataset[[#This Row],[dteday]],"yyyy")</f>
        <v>2011</v>
      </c>
      <c r="E851">
        <v>2</v>
      </c>
      <c r="F851">
        <v>5</v>
      </c>
      <c r="G851" t="b">
        <v>0</v>
      </c>
      <c r="H851">
        <v>2</v>
      </c>
      <c r="I851">
        <v>1</v>
      </c>
      <c r="J851">
        <v>0.26</v>
      </c>
      <c r="K851">
        <v>0.2273</v>
      </c>
      <c r="L851">
        <v>0.81</v>
      </c>
      <c r="M851">
        <v>0.32840000000000003</v>
      </c>
      <c r="N851">
        <v>0</v>
      </c>
      <c r="O851">
        <v>2</v>
      </c>
      <c r="P851">
        <v>2</v>
      </c>
      <c r="Q851" s="2">
        <f>DATE(mergedcleandataset[[#This Row],[yr]],mergedcleandataset[[#This Row],[mnth]],mergedcleandataset[[#This Row],[day]])</f>
        <v>40582</v>
      </c>
      <c r="R851">
        <f>DAY(mergedcleandataset[[#This Row],[dteday]])</f>
        <v>8</v>
      </c>
      <c r="S851" t="str">
        <f>IF(mergedcleandataset[[#This Row],[weekday]]&gt;=5,"Yes","No")</f>
        <v>No</v>
      </c>
      <c r="T851" t="b">
        <f>ISBLANK(mergedcleandataset[[#This Row],[atemp]])</f>
        <v>0</v>
      </c>
      <c r="U851" t="str">
        <f t="shared" si="13"/>
        <v>Spring</v>
      </c>
      <c r="V851" t="str">
        <f>TEXT(mergedcleandataset[[#This Row],[date]],"dddd")</f>
        <v>Tuesday</v>
      </c>
      <c r="W85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2" spans="1:23" x14ac:dyDescent="0.25">
      <c r="A852">
        <v>860</v>
      </c>
      <c r="B852" s="1">
        <v>40582</v>
      </c>
      <c r="C852">
        <v>1</v>
      </c>
      <c r="D852" t="str">
        <f>TEXT(mergedcleandataset[[#This Row],[dteday]],"yyyy")</f>
        <v>2011</v>
      </c>
      <c r="E852">
        <v>2</v>
      </c>
      <c r="F852">
        <v>6</v>
      </c>
      <c r="G852" t="b">
        <v>0</v>
      </c>
      <c r="H852">
        <v>2</v>
      </c>
      <c r="I852">
        <v>1</v>
      </c>
      <c r="J852">
        <v>0.26</v>
      </c>
      <c r="K852">
        <v>0.2273</v>
      </c>
      <c r="L852">
        <v>0.7</v>
      </c>
      <c r="M852">
        <v>0.32840000000000003</v>
      </c>
      <c r="N852">
        <v>0</v>
      </c>
      <c r="O852">
        <v>39</v>
      </c>
      <c r="P852">
        <v>39</v>
      </c>
      <c r="Q852" s="2">
        <f>DATE(mergedcleandataset[[#This Row],[yr]],mergedcleandataset[[#This Row],[mnth]],mergedcleandataset[[#This Row],[day]])</f>
        <v>40582</v>
      </c>
      <c r="R852">
        <f>DAY(mergedcleandataset[[#This Row],[dteday]])</f>
        <v>8</v>
      </c>
      <c r="S852" t="str">
        <f>IF(mergedcleandataset[[#This Row],[weekday]]&gt;=5,"Yes","No")</f>
        <v>No</v>
      </c>
      <c r="T852" t="b">
        <f>ISBLANK(mergedcleandataset[[#This Row],[atemp]])</f>
        <v>0</v>
      </c>
      <c r="U852" t="str">
        <f t="shared" si="13"/>
        <v>Spring</v>
      </c>
      <c r="V852" t="str">
        <f>TEXT(mergedcleandataset[[#This Row],[date]],"dddd")</f>
        <v>Tuesday</v>
      </c>
      <c r="W8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3" spans="1:23" x14ac:dyDescent="0.25">
      <c r="A853">
        <v>861</v>
      </c>
      <c r="B853" s="1">
        <v>40582</v>
      </c>
      <c r="C853">
        <v>1</v>
      </c>
      <c r="D853" t="str">
        <f>TEXT(mergedcleandataset[[#This Row],[dteday]],"yyyy")</f>
        <v>2011</v>
      </c>
      <c r="E853">
        <v>2</v>
      </c>
      <c r="F853">
        <v>7</v>
      </c>
      <c r="G853" t="b">
        <v>0</v>
      </c>
      <c r="H853">
        <v>2</v>
      </c>
      <c r="I853">
        <v>1</v>
      </c>
      <c r="J853">
        <v>0.24</v>
      </c>
      <c r="K853">
        <v>0.19700000000000001</v>
      </c>
      <c r="L853">
        <v>0.65</v>
      </c>
      <c r="M853">
        <v>0.41789999999999999</v>
      </c>
      <c r="N853">
        <v>3</v>
      </c>
      <c r="O853">
        <v>97</v>
      </c>
      <c r="P853">
        <v>100</v>
      </c>
      <c r="Q853" s="2">
        <f>DATE(mergedcleandataset[[#This Row],[yr]],mergedcleandataset[[#This Row],[mnth]],mergedcleandataset[[#This Row],[day]])</f>
        <v>40582</v>
      </c>
      <c r="R853">
        <f>DAY(mergedcleandataset[[#This Row],[dteday]])</f>
        <v>8</v>
      </c>
      <c r="S853" t="str">
        <f>IF(mergedcleandataset[[#This Row],[weekday]]&gt;=5,"Yes","No")</f>
        <v>No</v>
      </c>
      <c r="T853" t="b">
        <f>ISBLANK(mergedcleandataset[[#This Row],[atemp]])</f>
        <v>0</v>
      </c>
      <c r="U853" t="str">
        <f t="shared" si="13"/>
        <v>Spring</v>
      </c>
      <c r="V853" t="str">
        <f>TEXT(mergedcleandataset[[#This Row],[date]],"dddd")</f>
        <v>Tuesday</v>
      </c>
      <c r="W85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4" spans="1:23" x14ac:dyDescent="0.25">
      <c r="A854">
        <v>862</v>
      </c>
      <c r="B854" s="1">
        <v>40582</v>
      </c>
      <c r="C854">
        <v>1</v>
      </c>
      <c r="D854" t="str">
        <f>TEXT(mergedcleandataset[[#This Row],[dteday]],"yyyy")</f>
        <v>2011</v>
      </c>
      <c r="E854">
        <v>2</v>
      </c>
      <c r="F854">
        <v>8</v>
      </c>
      <c r="G854" t="b">
        <v>0</v>
      </c>
      <c r="H854">
        <v>2</v>
      </c>
      <c r="I854">
        <v>1</v>
      </c>
      <c r="J854">
        <v>0.24</v>
      </c>
      <c r="K854">
        <v>0.19700000000000001</v>
      </c>
      <c r="L854">
        <v>0.56000000000000005</v>
      </c>
      <c r="M854">
        <v>0.49249999999999999</v>
      </c>
      <c r="N854">
        <v>7</v>
      </c>
      <c r="O854">
        <v>236</v>
      </c>
      <c r="P854">
        <v>243</v>
      </c>
      <c r="Q854" s="2">
        <f>DATE(mergedcleandataset[[#This Row],[yr]],mergedcleandataset[[#This Row],[mnth]],mergedcleandataset[[#This Row],[day]])</f>
        <v>40582</v>
      </c>
      <c r="R854">
        <f>DAY(mergedcleandataset[[#This Row],[dteday]])</f>
        <v>8</v>
      </c>
      <c r="S854" t="str">
        <f>IF(mergedcleandataset[[#This Row],[weekday]]&gt;=5,"Yes","No")</f>
        <v>No</v>
      </c>
      <c r="T854" t="b">
        <f>ISBLANK(mergedcleandataset[[#This Row],[atemp]])</f>
        <v>0</v>
      </c>
      <c r="U854" t="str">
        <f t="shared" si="13"/>
        <v>Spring</v>
      </c>
      <c r="V854" t="str">
        <f>TEXT(mergedcleandataset[[#This Row],[date]],"dddd")</f>
        <v>Tuesday</v>
      </c>
      <c r="W85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5" spans="1:23" x14ac:dyDescent="0.25">
      <c r="A855">
        <v>863</v>
      </c>
      <c r="B855" s="1">
        <v>40582</v>
      </c>
      <c r="C855">
        <v>1</v>
      </c>
      <c r="D855" t="str">
        <f>TEXT(mergedcleandataset[[#This Row],[dteday]],"yyyy")</f>
        <v>2011</v>
      </c>
      <c r="E855">
        <v>2</v>
      </c>
      <c r="F855">
        <v>9</v>
      </c>
      <c r="G855" t="b">
        <v>0</v>
      </c>
      <c r="H855">
        <v>2</v>
      </c>
      <c r="I855">
        <v>1</v>
      </c>
      <c r="J855">
        <v>0.24</v>
      </c>
      <c r="K855">
        <v>0.19700000000000001</v>
      </c>
      <c r="L855">
        <v>0.52</v>
      </c>
      <c r="M855">
        <v>0.49249999999999999</v>
      </c>
      <c r="N855">
        <v>7</v>
      </c>
      <c r="O855">
        <v>128</v>
      </c>
      <c r="P855">
        <v>135</v>
      </c>
      <c r="Q855" s="2">
        <f>DATE(mergedcleandataset[[#This Row],[yr]],mergedcleandataset[[#This Row],[mnth]],mergedcleandataset[[#This Row],[day]])</f>
        <v>40582</v>
      </c>
      <c r="R855">
        <f>DAY(mergedcleandataset[[#This Row],[dteday]])</f>
        <v>8</v>
      </c>
      <c r="S855" t="str">
        <f>IF(mergedcleandataset[[#This Row],[weekday]]&gt;=5,"Yes","No")</f>
        <v>No</v>
      </c>
      <c r="T855" t="b">
        <f>ISBLANK(mergedcleandataset[[#This Row],[atemp]])</f>
        <v>0</v>
      </c>
      <c r="U855" t="str">
        <f t="shared" si="13"/>
        <v>Spring</v>
      </c>
      <c r="V855" t="str">
        <f>TEXT(mergedcleandataset[[#This Row],[date]],"dddd")</f>
        <v>Tuesday</v>
      </c>
      <c r="W85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6" spans="1:23" x14ac:dyDescent="0.25">
      <c r="A856">
        <v>864</v>
      </c>
      <c r="B856" s="1">
        <v>40582</v>
      </c>
      <c r="C856">
        <v>1</v>
      </c>
      <c r="D856" t="str">
        <f>TEXT(mergedcleandataset[[#This Row],[dteday]],"yyyy")</f>
        <v>2011</v>
      </c>
      <c r="E856">
        <v>2</v>
      </c>
      <c r="F856">
        <v>10</v>
      </c>
      <c r="G856" t="b">
        <v>0</v>
      </c>
      <c r="H856">
        <v>2</v>
      </c>
      <c r="I856">
        <v>1</v>
      </c>
      <c r="J856">
        <v>0.22</v>
      </c>
      <c r="K856">
        <v>0.18179999999999999</v>
      </c>
      <c r="L856">
        <v>0.47</v>
      </c>
      <c r="M856">
        <v>0.55220000000000002</v>
      </c>
      <c r="N856">
        <v>4</v>
      </c>
      <c r="O856">
        <v>44</v>
      </c>
      <c r="P856">
        <v>48</v>
      </c>
      <c r="Q856" s="2">
        <f>DATE(mergedcleandataset[[#This Row],[yr]],mergedcleandataset[[#This Row],[mnth]],mergedcleandataset[[#This Row],[day]])</f>
        <v>40582</v>
      </c>
      <c r="R856">
        <f>DAY(mergedcleandataset[[#This Row],[dteday]])</f>
        <v>8</v>
      </c>
      <c r="S856" t="str">
        <f>IF(mergedcleandataset[[#This Row],[weekday]]&gt;=5,"Yes","No")</f>
        <v>No</v>
      </c>
      <c r="T856" t="b">
        <f>ISBLANK(mergedcleandataset[[#This Row],[atemp]])</f>
        <v>0</v>
      </c>
      <c r="U856" t="str">
        <f t="shared" si="13"/>
        <v>Spring</v>
      </c>
      <c r="V856" t="str">
        <f>TEXT(mergedcleandataset[[#This Row],[date]],"dddd")</f>
        <v>Tuesday</v>
      </c>
      <c r="W85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7" spans="1:23" x14ac:dyDescent="0.25">
      <c r="A857">
        <v>865</v>
      </c>
      <c r="B857" s="1">
        <v>40582</v>
      </c>
      <c r="C857">
        <v>1</v>
      </c>
      <c r="D857" t="str">
        <f>TEXT(mergedcleandataset[[#This Row],[dteday]],"yyyy")</f>
        <v>2011</v>
      </c>
      <c r="E857">
        <v>2</v>
      </c>
      <c r="F857">
        <v>11</v>
      </c>
      <c r="G857" t="b">
        <v>0</v>
      </c>
      <c r="H857">
        <v>2</v>
      </c>
      <c r="I857">
        <v>1</v>
      </c>
      <c r="J857">
        <v>0.22</v>
      </c>
      <c r="K857">
        <v>0.18179999999999999</v>
      </c>
      <c r="L857">
        <v>0.47</v>
      </c>
      <c r="M857">
        <v>0.4627</v>
      </c>
      <c r="N857">
        <v>1</v>
      </c>
      <c r="O857">
        <v>49</v>
      </c>
      <c r="P857">
        <v>50</v>
      </c>
      <c r="Q857" s="2">
        <f>DATE(mergedcleandataset[[#This Row],[yr]],mergedcleandataset[[#This Row],[mnth]],mergedcleandataset[[#This Row],[day]])</f>
        <v>40582</v>
      </c>
      <c r="R857">
        <f>DAY(mergedcleandataset[[#This Row],[dteday]])</f>
        <v>8</v>
      </c>
      <c r="S857" t="str">
        <f>IF(mergedcleandataset[[#This Row],[weekday]]&gt;=5,"Yes","No")</f>
        <v>No</v>
      </c>
      <c r="T857" t="b">
        <f>ISBLANK(mergedcleandataset[[#This Row],[atemp]])</f>
        <v>0</v>
      </c>
      <c r="U857" t="str">
        <f t="shared" si="13"/>
        <v>Spring</v>
      </c>
      <c r="V857" t="str">
        <f>TEXT(mergedcleandataset[[#This Row],[date]],"dddd")</f>
        <v>Tuesday</v>
      </c>
      <c r="W85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8" spans="1:23" x14ac:dyDescent="0.25">
      <c r="A858">
        <v>866</v>
      </c>
      <c r="B858" s="1">
        <v>40582</v>
      </c>
      <c r="C858">
        <v>1</v>
      </c>
      <c r="D858" t="str">
        <f>TEXT(mergedcleandataset[[#This Row],[dteday]],"yyyy")</f>
        <v>2011</v>
      </c>
      <c r="E858">
        <v>2</v>
      </c>
      <c r="F858">
        <v>12</v>
      </c>
      <c r="G858" t="b">
        <v>0</v>
      </c>
      <c r="H858">
        <v>2</v>
      </c>
      <c r="I858">
        <v>1</v>
      </c>
      <c r="J858">
        <v>0.24</v>
      </c>
      <c r="K858">
        <v>0.19700000000000001</v>
      </c>
      <c r="L858">
        <v>0.38</v>
      </c>
      <c r="M858">
        <v>0.49249999999999999</v>
      </c>
      <c r="N858">
        <v>2</v>
      </c>
      <c r="O858">
        <v>63</v>
      </c>
      <c r="P858">
        <v>65</v>
      </c>
      <c r="Q858" s="2">
        <f>DATE(mergedcleandataset[[#This Row],[yr]],mergedcleandataset[[#This Row],[mnth]],mergedcleandataset[[#This Row],[day]])</f>
        <v>40582</v>
      </c>
      <c r="R858">
        <f>DAY(mergedcleandataset[[#This Row],[dteday]])</f>
        <v>8</v>
      </c>
      <c r="S858" t="str">
        <f>IF(mergedcleandataset[[#This Row],[weekday]]&gt;=5,"Yes","No")</f>
        <v>No</v>
      </c>
      <c r="T858" t="b">
        <f>ISBLANK(mergedcleandataset[[#This Row],[atemp]])</f>
        <v>0</v>
      </c>
      <c r="U858" t="str">
        <f t="shared" si="13"/>
        <v>Spring</v>
      </c>
      <c r="V858" t="str">
        <f>TEXT(mergedcleandataset[[#This Row],[date]],"dddd")</f>
        <v>Tuesday</v>
      </c>
      <c r="W8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59" spans="1:23" x14ac:dyDescent="0.25">
      <c r="A859">
        <v>867</v>
      </c>
      <c r="B859" s="1">
        <v>40582</v>
      </c>
      <c r="C859">
        <v>1</v>
      </c>
      <c r="D859" t="str">
        <f>TEXT(mergedcleandataset[[#This Row],[dteday]],"yyyy")</f>
        <v>2011</v>
      </c>
      <c r="E859">
        <v>2</v>
      </c>
      <c r="F859">
        <v>13</v>
      </c>
      <c r="G859" t="b">
        <v>0</v>
      </c>
      <c r="H859">
        <v>2</v>
      </c>
      <c r="I859">
        <v>2</v>
      </c>
      <c r="J859">
        <v>0.24</v>
      </c>
      <c r="K859">
        <v>0.19700000000000001</v>
      </c>
      <c r="L859">
        <v>0.32</v>
      </c>
      <c r="M859">
        <v>0.44779999999999998</v>
      </c>
      <c r="N859">
        <v>2</v>
      </c>
      <c r="O859">
        <v>48</v>
      </c>
      <c r="P859">
        <v>50</v>
      </c>
      <c r="Q859" s="2">
        <f>DATE(mergedcleandataset[[#This Row],[yr]],mergedcleandataset[[#This Row],[mnth]],mergedcleandataset[[#This Row],[day]])</f>
        <v>40582</v>
      </c>
      <c r="R859">
        <f>DAY(mergedcleandataset[[#This Row],[dteday]])</f>
        <v>8</v>
      </c>
      <c r="S859" t="str">
        <f>IF(mergedcleandataset[[#This Row],[weekday]]&gt;=5,"Yes","No")</f>
        <v>No</v>
      </c>
      <c r="T859" t="b">
        <f>ISBLANK(mergedcleandataset[[#This Row],[atemp]])</f>
        <v>0</v>
      </c>
      <c r="U859" t="str">
        <f t="shared" si="13"/>
        <v>Spring</v>
      </c>
      <c r="V859" t="str">
        <f>TEXT(mergedcleandataset[[#This Row],[date]],"dddd")</f>
        <v>Tuesday</v>
      </c>
      <c r="W85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60" spans="1:23" x14ac:dyDescent="0.25">
      <c r="A860">
        <v>868</v>
      </c>
      <c r="B860" s="1">
        <v>40582</v>
      </c>
      <c r="C860">
        <v>1</v>
      </c>
      <c r="D860" t="str">
        <f>TEXT(mergedcleandataset[[#This Row],[dteday]],"yyyy")</f>
        <v>2011</v>
      </c>
      <c r="E860">
        <v>2</v>
      </c>
      <c r="F860">
        <v>14</v>
      </c>
      <c r="G860" t="b">
        <v>0</v>
      </c>
      <c r="H860">
        <v>2</v>
      </c>
      <c r="I860">
        <v>1</v>
      </c>
      <c r="J860">
        <v>0.22</v>
      </c>
      <c r="K860">
        <v>0.19700000000000001</v>
      </c>
      <c r="L860">
        <v>0.37</v>
      </c>
      <c r="M860">
        <v>0.41789999999999999</v>
      </c>
      <c r="N860">
        <v>3</v>
      </c>
      <c r="O860">
        <v>61</v>
      </c>
      <c r="P860">
        <v>64</v>
      </c>
      <c r="Q860" s="2">
        <f>DATE(mergedcleandataset[[#This Row],[yr]],mergedcleandataset[[#This Row],[mnth]],mergedcleandataset[[#This Row],[day]])</f>
        <v>40582</v>
      </c>
      <c r="R860">
        <f>DAY(mergedcleandataset[[#This Row],[dteday]])</f>
        <v>8</v>
      </c>
      <c r="S860" t="str">
        <f>IF(mergedcleandataset[[#This Row],[weekday]]&gt;=5,"Yes","No")</f>
        <v>No</v>
      </c>
      <c r="T860" t="b">
        <f>ISBLANK(mergedcleandataset[[#This Row],[atemp]])</f>
        <v>0</v>
      </c>
      <c r="U860" t="str">
        <f t="shared" si="13"/>
        <v>Spring</v>
      </c>
      <c r="V860" t="str">
        <f>TEXT(mergedcleandataset[[#This Row],[date]],"dddd")</f>
        <v>Tuesday</v>
      </c>
      <c r="W8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1" spans="1:23" x14ac:dyDescent="0.25">
      <c r="A861">
        <v>869</v>
      </c>
      <c r="B861" s="1">
        <v>40582</v>
      </c>
      <c r="C861">
        <v>1</v>
      </c>
      <c r="D861" t="str">
        <f>TEXT(mergedcleandataset[[#This Row],[dteday]],"yyyy")</f>
        <v>2011</v>
      </c>
      <c r="E861">
        <v>2</v>
      </c>
      <c r="F861">
        <v>15</v>
      </c>
      <c r="G861" t="b">
        <v>0</v>
      </c>
      <c r="H861">
        <v>2</v>
      </c>
      <c r="I861">
        <v>1</v>
      </c>
      <c r="J861">
        <v>0.22</v>
      </c>
      <c r="K861">
        <v>0.19700000000000001</v>
      </c>
      <c r="L861">
        <v>0.35</v>
      </c>
      <c r="M861">
        <v>0.3881</v>
      </c>
      <c r="N861">
        <v>6</v>
      </c>
      <c r="O861">
        <v>45</v>
      </c>
      <c r="P861">
        <v>51</v>
      </c>
      <c r="Q861" s="2">
        <f>DATE(mergedcleandataset[[#This Row],[yr]],mergedcleandataset[[#This Row],[mnth]],mergedcleandataset[[#This Row],[day]])</f>
        <v>40582</v>
      </c>
      <c r="R861">
        <f>DAY(mergedcleandataset[[#This Row],[dteday]])</f>
        <v>8</v>
      </c>
      <c r="S861" t="str">
        <f>IF(mergedcleandataset[[#This Row],[weekday]]&gt;=5,"Yes","No")</f>
        <v>No</v>
      </c>
      <c r="T861" t="b">
        <f>ISBLANK(mergedcleandataset[[#This Row],[atemp]])</f>
        <v>0</v>
      </c>
      <c r="U861" t="str">
        <f t="shared" si="13"/>
        <v>Spring</v>
      </c>
      <c r="V861" t="str">
        <f>TEXT(mergedcleandataset[[#This Row],[date]],"dddd")</f>
        <v>Tuesday</v>
      </c>
      <c r="W8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2" spans="1:23" x14ac:dyDescent="0.25">
      <c r="A862">
        <v>870</v>
      </c>
      <c r="B862" s="1">
        <v>40582</v>
      </c>
      <c r="C862">
        <v>1</v>
      </c>
      <c r="D862" t="str">
        <f>TEXT(mergedcleandataset[[#This Row],[dteday]],"yyyy")</f>
        <v>2011</v>
      </c>
      <c r="E862">
        <v>2</v>
      </c>
      <c r="F862">
        <v>16</v>
      </c>
      <c r="G862" t="b">
        <v>0</v>
      </c>
      <c r="H862">
        <v>2</v>
      </c>
      <c r="I862">
        <v>1</v>
      </c>
      <c r="J862">
        <v>0.22</v>
      </c>
      <c r="K862">
        <v>0.18179999999999999</v>
      </c>
      <c r="L862">
        <v>0.35</v>
      </c>
      <c r="M862">
        <v>0.52239999999999998</v>
      </c>
      <c r="N862">
        <v>4</v>
      </c>
      <c r="O862">
        <v>79</v>
      </c>
      <c r="P862">
        <v>83</v>
      </c>
      <c r="Q862" s="2">
        <f>DATE(mergedcleandataset[[#This Row],[yr]],mergedcleandataset[[#This Row],[mnth]],mergedcleandataset[[#This Row],[day]])</f>
        <v>40582</v>
      </c>
      <c r="R862">
        <f>DAY(mergedcleandataset[[#This Row],[dteday]])</f>
        <v>8</v>
      </c>
      <c r="S862" t="str">
        <f>IF(mergedcleandataset[[#This Row],[weekday]]&gt;=5,"Yes","No")</f>
        <v>No</v>
      </c>
      <c r="T862" t="b">
        <f>ISBLANK(mergedcleandataset[[#This Row],[atemp]])</f>
        <v>0</v>
      </c>
      <c r="U862" t="str">
        <f t="shared" si="13"/>
        <v>Spring</v>
      </c>
      <c r="V862" t="str">
        <f>TEXT(mergedcleandataset[[#This Row],[date]],"dddd")</f>
        <v>Tuesday</v>
      </c>
      <c r="W8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3" spans="1:23" x14ac:dyDescent="0.25">
      <c r="A863">
        <v>871</v>
      </c>
      <c r="B863" s="1">
        <v>40582</v>
      </c>
      <c r="C863">
        <v>1</v>
      </c>
      <c r="D863" t="str">
        <f>TEXT(mergedcleandataset[[#This Row],[dteday]],"yyyy")</f>
        <v>2011</v>
      </c>
      <c r="E863">
        <v>2</v>
      </c>
      <c r="F863">
        <v>17</v>
      </c>
      <c r="G863" t="b">
        <v>0</v>
      </c>
      <c r="H863">
        <v>2</v>
      </c>
      <c r="I863">
        <v>1</v>
      </c>
      <c r="J863">
        <v>0.22</v>
      </c>
      <c r="K863">
        <v>0.18179999999999999</v>
      </c>
      <c r="L863">
        <v>0.32</v>
      </c>
      <c r="M863">
        <v>0.58209999999999995</v>
      </c>
      <c r="N863">
        <v>4</v>
      </c>
      <c r="O863">
        <v>172</v>
      </c>
      <c r="P863">
        <v>176</v>
      </c>
      <c r="Q863" s="2">
        <f>DATE(mergedcleandataset[[#This Row],[yr]],mergedcleandataset[[#This Row],[mnth]],mergedcleandataset[[#This Row],[day]])</f>
        <v>40582</v>
      </c>
      <c r="R863">
        <f>DAY(mergedcleandataset[[#This Row],[dteday]])</f>
        <v>8</v>
      </c>
      <c r="S863" t="str">
        <f>IF(mergedcleandataset[[#This Row],[weekday]]&gt;=5,"Yes","No")</f>
        <v>No</v>
      </c>
      <c r="T863" t="b">
        <f>ISBLANK(mergedcleandataset[[#This Row],[atemp]])</f>
        <v>0</v>
      </c>
      <c r="U863" t="str">
        <f t="shared" si="13"/>
        <v>Spring</v>
      </c>
      <c r="V863" t="str">
        <f>TEXT(mergedcleandataset[[#This Row],[date]],"dddd")</f>
        <v>Tuesday</v>
      </c>
      <c r="W8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4" spans="1:23" x14ac:dyDescent="0.25">
      <c r="A864">
        <v>872</v>
      </c>
      <c r="B864" s="1">
        <v>40582</v>
      </c>
      <c r="C864">
        <v>1</v>
      </c>
      <c r="D864" t="str">
        <f>TEXT(mergedcleandataset[[#This Row],[dteday]],"yyyy")</f>
        <v>2011</v>
      </c>
      <c r="E864">
        <v>2</v>
      </c>
      <c r="F864">
        <v>18</v>
      </c>
      <c r="G864" t="b">
        <v>0</v>
      </c>
      <c r="H864">
        <v>2</v>
      </c>
      <c r="I864">
        <v>1</v>
      </c>
      <c r="J864">
        <v>0.2</v>
      </c>
      <c r="K864">
        <v>0.18179999999999999</v>
      </c>
      <c r="L864">
        <v>0.32</v>
      </c>
      <c r="M864">
        <v>0.3881</v>
      </c>
      <c r="N864">
        <v>1</v>
      </c>
      <c r="O864">
        <v>151</v>
      </c>
      <c r="P864">
        <v>152</v>
      </c>
      <c r="Q864" s="2">
        <f>DATE(mergedcleandataset[[#This Row],[yr]],mergedcleandataset[[#This Row],[mnth]],mergedcleandataset[[#This Row],[day]])</f>
        <v>40582</v>
      </c>
      <c r="R864">
        <f>DAY(mergedcleandataset[[#This Row],[dteday]])</f>
        <v>8</v>
      </c>
      <c r="S864" t="str">
        <f>IF(mergedcleandataset[[#This Row],[weekday]]&gt;=5,"Yes","No")</f>
        <v>No</v>
      </c>
      <c r="T864" t="b">
        <f>ISBLANK(mergedcleandataset[[#This Row],[atemp]])</f>
        <v>0</v>
      </c>
      <c r="U864" t="str">
        <f t="shared" si="13"/>
        <v>Spring</v>
      </c>
      <c r="V864" t="str">
        <f>TEXT(mergedcleandataset[[#This Row],[date]],"dddd")</f>
        <v>Tuesday</v>
      </c>
      <c r="W86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5" spans="1:23" x14ac:dyDescent="0.25">
      <c r="A865">
        <v>873</v>
      </c>
      <c r="B865" s="1">
        <v>40582</v>
      </c>
      <c r="C865">
        <v>1</v>
      </c>
      <c r="D865" t="str">
        <f>TEXT(mergedcleandataset[[#This Row],[dteday]],"yyyy")</f>
        <v>2011</v>
      </c>
      <c r="E865">
        <v>2</v>
      </c>
      <c r="F865">
        <v>19</v>
      </c>
      <c r="G865" t="b">
        <v>0</v>
      </c>
      <c r="H865">
        <v>2</v>
      </c>
      <c r="I865">
        <v>1</v>
      </c>
      <c r="J865">
        <v>0.16</v>
      </c>
      <c r="K865">
        <v>0.1212</v>
      </c>
      <c r="L865">
        <v>0.4</v>
      </c>
      <c r="M865">
        <v>0.4627</v>
      </c>
      <c r="N865">
        <v>1</v>
      </c>
      <c r="O865">
        <v>100</v>
      </c>
      <c r="P865">
        <v>101</v>
      </c>
      <c r="Q865" s="2">
        <f>DATE(mergedcleandataset[[#This Row],[yr]],mergedcleandataset[[#This Row],[mnth]],mergedcleandataset[[#This Row],[day]])</f>
        <v>40582</v>
      </c>
      <c r="R865">
        <f>DAY(mergedcleandataset[[#This Row],[dteday]])</f>
        <v>8</v>
      </c>
      <c r="S865" t="str">
        <f>IF(mergedcleandataset[[#This Row],[weekday]]&gt;=5,"Yes","No")</f>
        <v>No</v>
      </c>
      <c r="T865" t="b">
        <f>ISBLANK(mergedcleandataset[[#This Row],[atemp]])</f>
        <v>0</v>
      </c>
      <c r="U865" t="str">
        <f t="shared" si="13"/>
        <v>Spring</v>
      </c>
      <c r="V865" t="str">
        <f>TEXT(mergedcleandataset[[#This Row],[date]],"dddd")</f>
        <v>Tuesday</v>
      </c>
      <c r="W86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6" spans="1:23" x14ac:dyDescent="0.25">
      <c r="A866">
        <v>874</v>
      </c>
      <c r="B866" s="1">
        <v>40582</v>
      </c>
      <c r="C866">
        <v>1</v>
      </c>
      <c r="D866" t="str">
        <f>TEXT(mergedcleandataset[[#This Row],[dteday]],"yyyy")</f>
        <v>2011</v>
      </c>
      <c r="E866">
        <v>2</v>
      </c>
      <c r="F866">
        <v>20</v>
      </c>
      <c r="G866" t="b">
        <v>0</v>
      </c>
      <c r="H866">
        <v>2</v>
      </c>
      <c r="I866">
        <v>1</v>
      </c>
      <c r="J866">
        <v>0.16</v>
      </c>
      <c r="K866">
        <v>0.13639999999999999</v>
      </c>
      <c r="L866">
        <v>0.4</v>
      </c>
      <c r="M866">
        <v>0.32840000000000003</v>
      </c>
      <c r="N866">
        <v>3</v>
      </c>
      <c r="O866">
        <v>53</v>
      </c>
      <c r="P866">
        <v>56</v>
      </c>
      <c r="Q866" s="2">
        <f>DATE(mergedcleandataset[[#This Row],[yr]],mergedcleandataset[[#This Row],[mnth]],mergedcleandataset[[#This Row],[day]])</f>
        <v>40582</v>
      </c>
      <c r="R866">
        <f>DAY(mergedcleandataset[[#This Row],[dteday]])</f>
        <v>8</v>
      </c>
      <c r="S866" t="str">
        <f>IF(mergedcleandataset[[#This Row],[weekday]]&gt;=5,"Yes","No")</f>
        <v>No</v>
      </c>
      <c r="T866" t="b">
        <f>ISBLANK(mergedcleandataset[[#This Row],[atemp]])</f>
        <v>0</v>
      </c>
      <c r="U866" t="str">
        <f t="shared" si="13"/>
        <v>Spring</v>
      </c>
      <c r="V866" t="str">
        <f>TEXT(mergedcleandataset[[#This Row],[date]],"dddd")</f>
        <v>Tuesday</v>
      </c>
      <c r="W86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7" spans="1:23" x14ac:dyDescent="0.25">
      <c r="A867">
        <v>875</v>
      </c>
      <c r="B867" s="1">
        <v>40582</v>
      </c>
      <c r="C867">
        <v>1</v>
      </c>
      <c r="D867" t="str">
        <f>TEXT(mergedcleandataset[[#This Row],[dteday]],"yyyy")</f>
        <v>2011</v>
      </c>
      <c r="E867">
        <v>2</v>
      </c>
      <c r="F867">
        <v>21</v>
      </c>
      <c r="G867" t="b">
        <v>0</v>
      </c>
      <c r="H867">
        <v>2</v>
      </c>
      <c r="I867">
        <v>1</v>
      </c>
      <c r="J867">
        <v>0.14000000000000001</v>
      </c>
      <c r="K867">
        <v>0.1061</v>
      </c>
      <c r="L867">
        <v>0.33</v>
      </c>
      <c r="M867">
        <v>0.4627</v>
      </c>
      <c r="N867">
        <v>8</v>
      </c>
      <c r="O867">
        <v>46</v>
      </c>
      <c r="P867">
        <v>54</v>
      </c>
      <c r="Q867" s="2">
        <f>DATE(mergedcleandataset[[#This Row],[yr]],mergedcleandataset[[#This Row],[mnth]],mergedcleandataset[[#This Row],[day]])</f>
        <v>40582</v>
      </c>
      <c r="R867">
        <f>DAY(mergedcleandataset[[#This Row],[dteday]])</f>
        <v>8</v>
      </c>
      <c r="S867" t="str">
        <f>IF(mergedcleandataset[[#This Row],[weekday]]&gt;=5,"Yes","No")</f>
        <v>No</v>
      </c>
      <c r="T867" t="b">
        <f>ISBLANK(mergedcleandataset[[#This Row],[atemp]])</f>
        <v>0</v>
      </c>
      <c r="U867" t="str">
        <f t="shared" si="13"/>
        <v>Spring</v>
      </c>
      <c r="V867" t="str">
        <f>TEXT(mergedcleandataset[[#This Row],[date]],"dddd")</f>
        <v>Tuesday</v>
      </c>
      <c r="W86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8" spans="1:23" x14ac:dyDescent="0.25">
      <c r="A868">
        <v>876</v>
      </c>
      <c r="B868" s="1">
        <v>40582</v>
      </c>
      <c r="C868">
        <v>1</v>
      </c>
      <c r="D868" t="str">
        <f>TEXT(mergedcleandataset[[#This Row],[dteday]],"yyyy")</f>
        <v>2011</v>
      </c>
      <c r="E868">
        <v>2</v>
      </c>
      <c r="F868">
        <v>22</v>
      </c>
      <c r="G868" t="b">
        <v>0</v>
      </c>
      <c r="H868">
        <v>2</v>
      </c>
      <c r="I868">
        <v>1</v>
      </c>
      <c r="J868">
        <v>0.12</v>
      </c>
      <c r="K868">
        <v>0.1061</v>
      </c>
      <c r="L868">
        <v>0.33</v>
      </c>
      <c r="M868">
        <v>0.35820000000000002</v>
      </c>
      <c r="N868">
        <v>0</v>
      </c>
      <c r="O868">
        <v>29</v>
      </c>
      <c r="P868">
        <v>29</v>
      </c>
      <c r="Q868" s="2">
        <f>DATE(mergedcleandataset[[#This Row],[yr]],mergedcleandataset[[#This Row],[mnth]],mergedcleandataset[[#This Row],[day]])</f>
        <v>40582</v>
      </c>
      <c r="R868">
        <f>DAY(mergedcleandataset[[#This Row],[dteday]])</f>
        <v>8</v>
      </c>
      <c r="S868" t="str">
        <f>IF(mergedcleandataset[[#This Row],[weekday]]&gt;=5,"Yes","No")</f>
        <v>No</v>
      </c>
      <c r="T868" t="b">
        <f>ISBLANK(mergedcleandataset[[#This Row],[atemp]])</f>
        <v>0</v>
      </c>
      <c r="U868" t="str">
        <f t="shared" si="13"/>
        <v>Spring</v>
      </c>
      <c r="V868" t="str">
        <f>TEXT(mergedcleandataset[[#This Row],[date]],"dddd")</f>
        <v>Tuesday</v>
      </c>
      <c r="W86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69" spans="1:23" x14ac:dyDescent="0.25">
      <c r="A869">
        <v>877</v>
      </c>
      <c r="B869" s="1">
        <v>40582</v>
      </c>
      <c r="C869">
        <v>1</v>
      </c>
      <c r="D869" t="str">
        <f>TEXT(mergedcleandataset[[#This Row],[dteday]],"yyyy")</f>
        <v>2011</v>
      </c>
      <c r="E869">
        <v>2</v>
      </c>
      <c r="F869">
        <v>23</v>
      </c>
      <c r="G869" t="b">
        <v>0</v>
      </c>
      <c r="H869">
        <v>2</v>
      </c>
      <c r="I869">
        <v>1</v>
      </c>
      <c r="J869">
        <v>0.12</v>
      </c>
      <c r="K869">
        <v>0.1061</v>
      </c>
      <c r="L869">
        <v>0.33</v>
      </c>
      <c r="M869">
        <v>0.32840000000000003</v>
      </c>
      <c r="N869">
        <v>3</v>
      </c>
      <c r="O869">
        <v>9</v>
      </c>
      <c r="P869">
        <v>12</v>
      </c>
      <c r="Q869" s="2">
        <f>DATE(mergedcleandataset[[#This Row],[yr]],mergedcleandataset[[#This Row],[mnth]],mergedcleandataset[[#This Row],[day]])</f>
        <v>40582</v>
      </c>
      <c r="R869">
        <f>DAY(mergedcleandataset[[#This Row],[dteday]])</f>
        <v>8</v>
      </c>
      <c r="S869" t="str">
        <f>IF(mergedcleandataset[[#This Row],[weekday]]&gt;=5,"Yes","No")</f>
        <v>No</v>
      </c>
      <c r="T869" t="b">
        <f>ISBLANK(mergedcleandataset[[#This Row],[atemp]])</f>
        <v>0</v>
      </c>
      <c r="U869" t="str">
        <f t="shared" si="13"/>
        <v>Spring</v>
      </c>
      <c r="V869" t="str">
        <f>TEXT(mergedcleandataset[[#This Row],[date]],"dddd")</f>
        <v>Tuesday</v>
      </c>
      <c r="W86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0" spans="1:23" x14ac:dyDescent="0.25">
      <c r="A870">
        <v>878</v>
      </c>
      <c r="B870" s="1">
        <v>40583</v>
      </c>
      <c r="C870">
        <v>1</v>
      </c>
      <c r="D870" t="str">
        <f>TEXT(mergedcleandataset[[#This Row],[dteday]],"yyyy")</f>
        <v>2011</v>
      </c>
      <c r="E870">
        <v>2</v>
      </c>
      <c r="F870">
        <v>0</v>
      </c>
      <c r="G870" t="b">
        <v>0</v>
      </c>
      <c r="H870">
        <v>3</v>
      </c>
      <c r="I870">
        <v>1</v>
      </c>
      <c r="J870">
        <v>0.1</v>
      </c>
      <c r="K870">
        <v>7.5800000000000006E-2</v>
      </c>
      <c r="L870">
        <v>0.36</v>
      </c>
      <c r="M870">
        <v>0.35820000000000002</v>
      </c>
      <c r="N870">
        <v>0</v>
      </c>
      <c r="O870">
        <v>17</v>
      </c>
      <c r="P870">
        <v>17</v>
      </c>
      <c r="Q870" s="2">
        <f>DATE(mergedcleandataset[[#This Row],[yr]],mergedcleandataset[[#This Row],[mnth]],mergedcleandataset[[#This Row],[day]])</f>
        <v>40583</v>
      </c>
      <c r="R870">
        <f>DAY(mergedcleandataset[[#This Row],[dteday]])</f>
        <v>9</v>
      </c>
      <c r="S870" t="str">
        <f>IF(mergedcleandataset[[#This Row],[weekday]]&gt;=5,"Yes","No")</f>
        <v>No</v>
      </c>
      <c r="T870" t="b">
        <f>ISBLANK(mergedcleandataset[[#This Row],[atemp]])</f>
        <v>0</v>
      </c>
      <c r="U870" t="str">
        <f t="shared" si="13"/>
        <v>Spring</v>
      </c>
      <c r="V870" t="str">
        <f>TEXT(mergedcleandataset[[#This Row],[date]],"dddd")</f>
        <v>Wednesday</v>
      </c>
      <c r="W87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1" spans="1:23" x14ac:dyDescent="0.25">
      <c r="A871">
        <v>879</v>
      </c>
      <c r="B871" s="1">
        <v>40583</v>
      </c>
      <c r="C871">
        <v>1</v>
      </c>
      <c r="D871" t="str">
        <f>TEXT(mergedcleandataset[[#This Row],[dteday]],"yyyy")</f>
        <v>2011</v>
      </c>
      <c r="E871">
        <v>2</v>
      </c>
      <c r="F871">
        <v>1</v>
      </c>
      <c r="G871" t="b">
        <v>0</v>
      </c>
      <c r="H871">
        <v>3</v>
      </c>
      <c r="I871">
        <v>1</v>
      </c>
      <c r="J871">
        <v>0.1</v>
      </c>
      <c r="K871">
        <v>0.1061</v>
      </c>
      <c r="L871">
        <v>0.36</v>
      </c>
      <c r="M871">
        <v>0.22389999999999999</v>
      </c>
      <c r="N871">
        <v>0</v>
      </c>
      <c r="O871">
        <v>7</v>
      </c>
      <c r="P871">
        <v>7</v>
      </c>
      <c r="Q871" s="2">
        <f>DATE(mergedcleandataset[[#This Row],[yr]],mergedcleandataset[[#This Row],[mnth]],mergedcleandataset[[#This Row],[day]])</f>
        <v>40583</v>
      </c>
      <c r="R871">
        <f>DAY(mergedcleandataset[[#This Row],[dteday]])</f>
        <v>9</v>
      </c>
      <c r="S871" t="str">
        <f>IF(mergedcleandataset[[#This Row],[weekday]]&gt;=5,"Yes","No")</f>
        <v>No</v>
      </c>
      <c r="T871" t="b">
        <f>ISBLANK(mergedcleandataset[[#This Row],[atemp]])</f>
        <v>0</v>
      </c>
      <c r="U871" t="str">
        <f t="shared" si="13"/>
        <v>Spring</v>
      </c>
      <c r="V871" t="str">
        <f>TEXT(mergedcleandataset[[#This Row],[date]],"dddd")</f>
        <v>Wednesday</v>
      </c>
      <c r="W8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2" spans="1:23" x14ac:dyDescent="0.25">
      <c r="A872">
        <v>880</v>
      </c>
      <c r="B872" s="1">
        <v>40583</v>
      </c>
      <c r="C872">
        <v>1</v>
      </c>
      <c r="D872" t="str">
        <f>TEXT(mergedcleandataset[[#This Row],[dteday]],"yyyy")</f>
        <v>2011</v>
      </c>
      <c r="E872">
        <v>2</v>
      </c>
      <c r="F872">
        <v>2</v>
      </c>
      <c r="G872" t="b">
        <v>0</v>
      </c>
      <c r="H872">
        <v>3</v>
      </c>
      <c r="I872">
        <v>1</v>
      </c>
      <c r="J872">
        <v>0.08</v>
      </c>
      <c r="K872">
        <v>7.5800000000000006E-2</v>
      </c>
      <c r="L872">
        <v>0.38</v>
      </c>
      <c r="M872">
        <v>0.28360000000000002</v>
      </c>
      <c r="N872">
        <v>1</v>
      </c>
      <c r="O872">
        <v>2</v>
      </c>
      <c r="P872">
        <v>3</v>
      </c>
      <c r="Q872" s="2">
        <f>DATE(mergedcleandataset[[#This Row],[yr]],mergedcleandataset[[#This Row],[mnth]],mergedcleandataset[[#This Row],[day]])</f>
        <v>40583</v>
      </c>
      <c r="R872">
        <f>DAY(mergedcleandataset[[#This Row],[dteday]])</f>
        <v>9</v>
      </c>
      <c r="S872" t="str">
        <f>IF(mergedcleandataset[[#This Row],[weekday]]&gt;=5,"Yes","No")</f>
        <v>No</v>
      </c>
      <c r="T872" t="b">
        <f>ISBLANK(mergedcleandataset[[#This Row],[atemp]])</f>
        <v>0</v>
      </c>
      <c r="U872" t="str">
        <f t="shared" si="13"/>
        <v>Spring</v>
      </c>
      <c r="V872" t="str">
        <f>TEXT(mergedcleandataset[[#This Row],[date]],"dddd")</f>
        <v>Wednesday</v>
      </c>
      <c r="W87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3" spans="1:23" x14ac:dyDescent="0.25">
      <c r="A873">
        <v>881</v>
      </c>
      <c r="B873" s="1">
        <v>40583</v>
      </c>
      <c r="C873">
        <v>1</v>
      </c>
      <c r="D873" t="str">
        <f>TEXT(mergedcleandataset[[#This Row],[dteday]],"yyyy")</f>
        <v>2011</v>
      </c>
      <c r="E873">
        <v>2</v>
      </c>
      <c r="F873">
        <v>3</v>
      </c>
      <c r="G873" t="b">
        <v>0</v>
      </c>
      <c r="H873">
        <v>3</v>
      </c>
      <c r="I873">
        <v>1</v>
      </c>
      <c r="J873">
        <v>0.06</v>
      </c>
      <c r="K873">
        <v>7.5800000000000006E-2</v>
      </c>
      <c r="L873">
        <v>0.45</v>
      </c>
      <c r="M873">
        <v>0.1343</v>
      </c>
      <c r="N873">
        <v>0</v>
      </c>
      <c r="O873">
        <v>2</v>
      </c>
      <c r="P873">
        <v>2</v>
      </c>
      <c r="Q873" s="2">
        <f>DATE(mergedcleandataset[[#This Row],[yr]],mergedcleandataset[[#This Row],[mnth]],mergedcleandataset[[#This Row],[day]])</f>
        <v>40583</v>
      </c>
      <c r="R873">
        <f>DAY(mergedcleandataset[[#This Row],[dteday]])</f>
        <v>9</v>
      </c>
      <c r="S873" t="str">
        <f>IF(mergedcleandataset[[#This Row],[weekday]]&gt;=5,"Yes","No")</f>
        <v>No</v>
      </c>
      <c r="T873" t="b">
        <f>ISBLANK(mergedcleandataset[[#This Row],[atemp]])</f>
        <v>0</v>
      </c>
      <c r="U873" t="str">
        <f t="shared" si="13"/>
        <v>Spring</v>
      </c>
      <c r="V873" t="str">
        <f>TEXT(mergedcleandataset[[#This Row],[date]],"dddd")</f>
        <v>Wednesday</v>
      </c>
      <c r="W87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4" spans="1:23" x14ac:dyDescent="0.25">
      <c r="A874">
        <v>882</v>
      </c>
      <c r="B874" s="1">
        <v>40583</v>
      </c>
      <c r="C874">
        <v>1</v>
      </c>
      <c r="D874" t="str">
        <f>TEXT(mergedcleandataset[[#This Row],[dteday]],"yyyy")</f>
        <v>2011</v>
      </c>
      <c r="E874">
        <v>2</v>
      </c>
      <c r="F874">
        <v>5</v>
      </c>
      <c r="G874" t="b">
        <v>0</v>
      </c>
      <c r="H874">
        <v>3</v>
      </c>
      <c r="I874">
        <v>1</v>
      </c>
      <c r="J874">
        <v>0.06</v>
      </c>
      <c r="K874">
        <v>0.1061</v>
      </c>
      <c r="L874">
        <v>0.45</v>
      </c>
      <c r="M874">
        <v>0.1045</v>
      </c>
      <c r="N874">
        <v>0</v>
      </c>
      <c r="O874">
        <v>7</v>
      </c>
      <c r="P874">
        <v>7</v>
      </c>
      <c r="Q874" s="2">
        <f>DATE(mergedcleandataset[[#This Row],[yr]],mergedcleandataset[[#This Row],[mnth]],mergedcleandataset[[#This Row],[day]])</f>
        <v>40583</v>
      </c>
      <c r="R874">
        <f>DAY(mergedcleandataset[[#This Row],[dteday]])</f>
        <v>9</v>
      </c>
      <c r="S874" t="str">
        <f>IF(mergedcleandataset[[#This Row],[weekday]]&gt;=5,"Yes","No")</f>
        <v>No</v>
      </c>
      <c r="T874" t="b">
        <f>ISBLANK(mergedcleandataset[[#This Row],[atemp]])</f>
        <v>0</v>
      </c>
      <c r="U874" t="str">
        <f t="shared" si="13"/>
        <v>Spring</v>
      </c>
      <c r="V874" t="str">
        <f>TEXT(mergedcleandataset[[#This Row],[date]],"dddd")</f>
        <v>Wednesday</v>
      </c>
      <c r="W87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5" spans="1:23" x14ac:dyDescent="0.25">
      <c r="A875">
        <v>883</v>
      </c>
      <c r="B875" s="1">
        <v>40583</v>
      </c>
      <c r="C875">
        <v>1</v>
      </c>
      <c r="D875" t="str">
        <f>TEXT(mergedcleandataset[[#This Row],[dteday]],"yyyy")</f>
        <v>2011</v>
      </c>
      <c r="E875">
        <v>2</v>
      </c>
      <c r="F875">
        <v>6</v>
      </c>
      <c r="G875" t="b">
        <v>0</v>
      </c>
      <c r="H875">
        <v>3</v>
      </c>
      <c r="I875">
        <v>1</v>
      </c>
      <c r="J875">
        <v>0.06</v>
      </c>
      <c r="K875">
        <v>0.1515</v>
      </c>
      <c r="L875">
        <v>0.45</v>
      </c>
      <c r="M875">
        <v>0</v>
      </c>
      <c r="N875">
        <v>0</v>
      </c>
      <c r="O875">
        <v>43</v>
      </c>
      <c r="P875">
        <v>43</v>
      </c>
      <c r="Q875" s="2">
        <f>DATE(mergedcleandataset[[#This Row],[yr]],mergedcleandataset[[#This Row],[mnth]],mergedcleandataset[[#This Row],[day]])</f>
        <v>40583</v>
      </c>
      <c r="R875">
        <f>DAY(mergedcleandataset[[#This Row],[dteday]])</f>
        <v>9</v>
      </c>
      <c r="S875" t="str">
        <f>IF(mergedcleandataset[[#This Row],[weekday]]&gt;=5,"Yes","No")</f>
        <v>No</v>
      </c>
      <c r="T875" t="b">
        <f>ISBLANK(mergedcleandataset[[#This Row],[atemp]])</f>
        <v>0</v>
      </c>
      <c r="U875" t="str">
        <f t="shared" si="13"/>
        <v>Spring</v>
      </c>
      <c r="V875" t="str">
        <f>TEXT(mergedcleandataset[[#This Row],[date]],"dddd")</f>
        <v>Wednesday</v>
      </c>
      <c r="W87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6" spans="1:23" x14ac:dyDescent="0.25">
      <c r="A876">
        <v>884</v>
      </c>
      <c r="B876" s="1">
        <v>40583</v>
      </c>
      <c r="C876">
        <v>1</v>
      </c>
      <c r="D876" t="str">
        <f>TEXT(mergedcleandataset[[#This Row],[dteday]],"yyyy")</f>
        <v>2011</v>
      </c>
      <c r="E876">
        <v>2</v>
      </c>
      <c r="F876">
        <v>7</v>
      </c>
      <c r="G876" t="b">
        <v>0</v>
      </c>
      <c r="H876">
        <v>3</v>
      </c>
      <c r="I876">
        <v>1</v>
      </c>
      <c r="J876">
        <v>0.06</v>
      </c>
      <c r="K876">
        <v>0.1061</v>
      </c>
      <c r="L876">
        <v>0.49</v>
      </c>
      <c r="M876">
        <v>0.1045</v>
      </c>
      <c r="N876">
        <v>4</v>
      </c>
      <c r="O876">
        <v>95</v>
      </c>
      <c r="P876">
        <v>99</v>
      </c>
      <c r="Q876" s="2">
        <f>DATE(mergedcleandataset[[#This Row],[yr]],mergedcleandataset[[#This Row],[mnth]],mergedcleandataset[[#This Row],[day]])</f>
        <v>40583</v>
      </c>
      <c r="R876">
        <f>DAY(mergedcleandataset[[#This Row],[dteday]])</f>
        <v>9</v>
      </c>
      <c r="S876" t="str">
        <f>IF(mergedcleandataset[[#This Row],[weekday]]&gt;=5,"Yes","No")</f>
        <v>No</v>
      </c>
      <c r="T876" t="b">
        <f>ISBLANK(mergedcleandataset[[#This Row],[atemp]])</f>
        <v>0</v>
      </c>
      <c r="U876" t="str">
        <f t="shared" si="13"/>
        <v>Spring</v>
      </c>
      <c r="V876" t="str">
        <f>TEXT(mergedcleandataset[[#This Row],[date]],"dddd")</f>
        <v>Wednesday</v>
      </c>
      <c r="W87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7" spans="1:23" x14ac:dyDescent="0.25">
      <c r="A877">
        <v>885</v>
      </c>
      <c r="B877" s="1">
        <v>40583</v>
      </c>
      <c r="C877">
        <v>1</v>
      </c>
      <c r="D877" t="str">
        <f>TEXT(mergedcleandataset[[#This Row],[dteday]],"yyyy")</f>
        <v>2011</v>
      </c>
      <c r="E877">
        <v>2</v>
      </c>
      <c r="F877">
        <v>8</v>
      </c>
      <c r="G877" t="b">
        <v>0</v>
      </c>
      <c r="H877">
        <v>3</v>
      </c>
      <c r="I877">
        <v>1</v>
      </c>
      <c r="J877">
        <v>0.1</v>
      </c>
      <c r="K877">
        <v>0.13639999999999999</v>
      </c>
      <c r="L877">
        <v>0.42</v>
      </c>
      <c r="M877">
        <v>0</v>
      </c>
      <c r="N877">
        <v>1</v>
      </c>
      <c r="O877">
        <v>198</v>
      </c>
      <c r="P877">
        <v>199</v>
      </c>
      <c r="Q877" s="2">
        <f>DATE(mergedcleandataset[[#This Row],[yr]],mergedcleandataset[[#This Row],[mnth]],mergedcleandataset[[#This Row],[day]])</f>
        <v>40583</v>
      </c>
      <c r="R877">
        <f>DAY(mergedcleandataset[[#This Row],[dteday]])</f>
        <v>9</v>
      </c>
      <c r="S877" t="str">
        <f>IF(mergedcleandataset[[#This Row],[weekday]]&gt;=5,"Yes","No")</f>
        <v>No</v>
      </c>
      <c r="T877" t="b">
        <f>ISBLANK(mergedcleandataset[[#This Row],[atemp]])</f>
        <v>0</v>
      </c>
      <c r="U877" t="str">
        <f t="shared" si="13"/>
        <v>Spring</v>
      </c>
      <c r="V877" t="str">
        <f>TEXT(mergedcleandataset[[#This Row],[date]],"dddd")</f>
        <v>Wednesday</v>
      </c>
      <c r="W87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8" spans="1:23" x14ac:dyDescent="0.25">
      <c r="A878">
        <v>886</v>
      </c>
      <c r="B878" s="1">
        <v>40583</v>
      </c>
      <c r="C878">
        <v>1</v>
      </c>
      <c r="D878" t="str">
        <f>TEXT(mergedcleandataset[[#This Row],[dteday]],"yyyy")</f>
        <v>2011</v>
      </c>
      <c r="E878">
        <v>2</v>
      </c>
      <c r="F878">
        <v>9</v>
      </c>
      <c r="G878" t="b">
        <v>0</v>
      </c>
      <c r="H878">
        <v>3</v>
      </c>
      <c r="I878">
        <v>1</v>
      </c>
      <c r="J878">
        <v>0.12</v>
      </c>
      <c r="K878">
        <v>0.13639999999999999</v>
      </c>
      <c r="L878">
        <v>0.39</v>
      </c>
      <c r="M878">
        <v>0.16420000000000001</v>
      </c>
      <c r="N878">
        <v>4</v>
      </c>
      <c r="O878">
        <v>119</v>
      </c>
      <c r="P878">
        <v>123</v>
      </c>
      <c r="Q878" s="2">
        <f>DATE(mergedcleandataset[[#This Row],[yr]],mergedcleandataset[[#This Row],[mnth]],mergedcleandataset[[#This Row],[day]])</f>
        <v>40583</v>
      </c>
      <c r="R878">
        <f>DAY(mergedcleandataset[[#This Row],[dteday]])</f>
        <v>9</v>
      </c>
      <c r="S878" t="str">
        <f>IF(mergedcleandataset[[#This Row],[weekday]]&gt;=5,"Yes","No")</f>
        <v>No</v>
      </c>
      <c r="T878" t="b">
        <f>ISBLANK(mergedcleandataset[[#This Row],[atemp]])</f>
        <v>0</v>
      </c>
      <c r="U878" t="str">
        <f t="shared" si="13"/>
        <v>Spring</v>
      </c>
      <c r="V878" t="str">
        <f>TEXT(mergedcleandataset[[#This Row],[date]],"dddd")</f>
        <v>Wednesday</v>
      </c>
      <c r="W87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79" spans="1:23" x14ac:dyDescent="0.25">
      <c r="A879">
        <v>887</v>
      </c>
      <c r="B879" s="1">
        <v>40583</v>
      </c>
      <c r="C879">
        <v>1</v>
      </c>
      <c r="D879" t="str">
        <f>TEXT(mergedcleandataset[[#This Row],[dteday]],"yyyy")</f>
        <v>2011</v>
      </c>
      <c r="E879">
        <v>2</v>
      </c>
      <c r="F879">
        <v>10</v>
      </c>
      <c r="G879" t="b">
        <v>0</v>
      </c>
      <c r="H879">
        <v>3</v>
      </c>
      <c r="I879">
        <v>1</v>
      </c>
      <c r="J879">
        <v>0.14000000000000001</v>
      </c>
      <c r="K879">
        <v>0.18179999999999999</v>
      </c>
      <c r="L879">
        <v>0.36</v>
      </c>
      <c r="M879">
        <v>0</v>
      </c>
      <c r="N879">
        <v>8</v>
      </c>
      <c r="O879">
        <v>51</v>
      </c>
      <c r="P879">
        <v>59</v>
      </c>
      <c r="Q879" s="2">
        <f>DATE(mergedcleandataset[[#This Row],[yr]],mergedcleandataset[[#This Row],[mnth]],mergedcleandataset[[#This Row],[day]])</f>
        <v>40583</v>
      </c>
      <c r="R879">
        <f>DAY(mergedcleandataset[[#This Row],[dteday]])</f>
        <v>9</v>
      </c>
      <c r="S879" t="str">
        <f>IF(mergedcleandataset[[#This Row],[weekday]]&gt;=5,"Yes","No")</f>
        <v>No</v>
      </c>
      <c r="T879" t="b">
        <f>ISBLANK(mergedcleandataset[[#This Row],[atemp]])</f>
        <v>0</v>
      </c>
      <c r="U879" t="str">
        <f t="shared" si="13"/>
        <v>Spring</v>
      </c>
      <c r="V879" t="str">
        <f>TEXT(mergedcleandataset[[#This Row],[date]],"dddd")</f>
        <v>Wednesday</v>
      </c>
      <c r="W87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80" spans="1:23" x14ac:dyDescent="0.25">
      <c r="A880">
        <v>888</v>
      </c>
      <c r="B880" s="1">
        <v>40583</v>
      </c>
      <c r="C880">
        <v>1</v>
      </c>
      <c r="D880" t="str">
        <f>TEXT(mergedcleandataset[[#This Row],[dteday]],"yyyy")</f>
        <v>2011</v>
      </c>
      <c r="E880">
        <v>2</v>
      </c>
      <c r="F880">
        <v>11</v>
      </c>
      <c r="G880" t="b">
        <v>0</v>
      </c>
      <c r="H880">
        <v>3</v>
      </c>
      <c r="I880">
        <v>2</v>
      </c>
      <c r="J880">
        <v>0.14000000000000001</v>
      </c>
      <c r="K880">
        <v>0.1515</v>
      </c>
      <c r="L880">
        <v>0.43</v>
      </c>
      <c r="M880">
        <v>0.16420000000000001</v>
      </c>
      <c r="N880">
        <v>1</v>
      </c>
      <c r="O880">
        <v>40</v>
      </c>
      <c r="P880">
        <v>41</v>
      </c>
      <c r="Q880" s="2">
        <f>DATE(mergedcleandataset[[#This Row],[yr]],mergedcleandataset[[#This Row],[mnth]],mergedcleandataset[[#This Row],[day]])</f>
        <v>40583</v>
      </c>
      <c r="R880">
        <f>DAY(mergedcleandataset[[#This Row],[dteday]])</f>
        <v>9</v>
      </c>
      <c r="S880" t="str">
        <f>IF(mergedcleandataset[[#This Row],[weekday]]&gt;=5,"Yes","No")</f>
        <v>No</v>
      </c>
      <c r="T880" t="b">
        <f>ISBLANK(mergedcleandataset[[#This Row],[atemp]])</f>
        <v>0</v>
      </c>
      <c r="U880" t="str">
        <f t="shared" si="13"/>
        <v>Spring</v>
      </c>
      <c r="V880" t="str">
        <f>TEXT(mergedcleandataset[[#This Row],[date]],"dddd")</f>
        <v>Wednesday</v>
      </c>
      <c r="W88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81" spans="1:23" x14ac:dyDescent="0.25">
      <c r="A881">
        <v>889</v>
      </c>
      <c r="B881" s="1">
        <v>40583</v>
      </c>
      <c r="C881">
        <v>1</v>
      </c>
      <c r="D881" t="str">
        <f>TEXT(mergedcleandataset[[#This Row],[dteday]],"yyyy")</f>
        <v>2011</v>
      </c>
      <c r="E881">
        <v>2</v>
      </c>
      <c r="F881">
        <v>12</v>
      </c>
      <c r="G881" t="b">
        <v>0</v>
      </c>
      <c r="H881">
        <v>3</v>
      </c>
      <c r="I881">
        <v>2</v>
      </c>
      <c r="J881">
        <v>0.18</v>
      </c>
      <c r="K881">
        <v>0.18179999999999999</v>
      </c>
      <c r="L881">
        <v>0.4</v>
      </c>
      <c r="M881">
        <v>0.22389999999999999</v>
      </c>
      <c r="N881">
        <v>4</v>
      </c>
      <c r="O881">
        <v>57</v>
      </c>
      <c r="P881">
        <v>61</v>
      </c>
      <c r="Q881" s="2">
        <f>DATE(mergedcleandataset[[#This Row],[yr]],mergedcleandataset[[#This Row],[mnth]],mergedcleandataset[[#This Row],[day]])</f>
        <v>40583</v>
      </c>
      <c r="R881">
        <f>DAY(mergedcleandataset[[#This Row],[dteday]])</f>
        <v>9</v>
      </c>
      <c r="S881" t="str">
        <f>IF(mergedcleandataset[[#This Row],[weekday]]&gt;=5,"Yes","No")</f>
        <v>No</v>
      </c>
      <c r="T881" t="b">
        <f>ISBLANK(mergedcleandataset[[#This Row],[atemp]])</f>
        <v>0</v>
      </c>
      <c r="U881" t="str">
        <f t="shared" si="13"/>
        <v>Spring</v>
      </c>
      <c r="V881" t="str">
        <f>TEXT(mergedcleandataset[[#This Row],[date]],"dddd")</f>
        <v>Wednesday</v>
      </c>
      <c r="W881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82" spans="1:23" x14ac:dyDescent="0.25">
      <c r="A882">
        <v>890</v>
      </c>
      <c r="B882" s="1">
        <v>40583</v>
      </c>
      <c r="C882">
        <v>1</v>
      </c>
      <c r="D882" t="str">
        <f>TEXT(mergedcleandataset[[#This Row],[dteday]],"yyyy")</f>
        <v>2011</v>
      </c>
      <c r="E882">
        <v>2</v>
      </c>
      <c r="F882">
        <v>13</v>
      </c>
      <c r="G882" t="b">
        <v>0</v>
      </c>
      <c r="H882">
        <v>3</v>
      </c>
      <c r="I882">
        <v>1</v>
      </c>
      <c r="J882">
        <v>0.18</v>
      </c>
      <c r="K882">
        <v>0.16669999999999999</v>
      </c>
      <c r="L882">
        <v>0.4</v>
      </c>
      <c r="M882">
        <v>0.25369999999999998</v>
      </c>
      <c r="N882">
        <v>2</v>
      </c>
      <c r="O882">
        <v>67</v>
      </c>
      <c r="P882">
        <v>69</v>
      </c>
      <c r="Q882" s="2">
        <f>DATE(mergedcleandataset[[#This Row],[yr]],mergedcleandataset[[#This Row],[mnth]],mergedcleandataset[[#This Row],[day]])</f>
        <v>40583</v>
      </c>
      <c r="R882">
        <f>DAY(mergedcleandataset[[#This Row],[dteday]])</f>
        <v>9</v>
      </c>
      <c r="S882" t="str">
        <f>IF(mergedcleandataset[[#This Row],[weekday]]&gt;=5,"Yes","No")</f>
        <v>No</v>
      </c>
      <c r="T882" t="b">
        <f>ISBLANK(mergedcleandataset[[#This Row],[atemp]])</f>
        <v>0</v>
      </c>
      <c r="U882" t="str">
        <f t="shared" si="13"/>
        <v>Spring</v>
      </c>
      <c r="V882" t="str">
        <f>TEXT(mergedcleandataset[[#This Row],[date]],"dddd")</f>
        <v>Wednesday</v>
      </c>
      <c r="W88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83" spans="1:23" x14ac:dyDescent="0.25">
      <c r="A883">
        <v>891</v>
      </c>
      <c r="B883" s="1">
        <v>40583</v>
      </c>
      <c r="C883">
        <v>1</v>
      </c>
      <c r="D883" t="str">
        <f>TEXT(mergedcleandataset[[#This Row],[dteday]],"yyyy")</f>
        <v>2011</v>
      </c>
      <c r="E883">
        <v>2</v>
      </c>
      <c r="F883">
        <v>14</v>
      </c>
      <c r="G883" t="b">
        <v>0</v>
      </c>
      <c r="H883">
        <v>3</v>
      </c>
      <c r="I883">
        <v>1</v>
      </c>
      <c r="J883">
        <v>0.2</v>
      </c>
      <c r="K883">
        <v>0.18179999999999999</v>
      </c>
      <c r="L883">
        <v>0.34</v>
      </c>
      <c r="M883">
        <v>0.29849999999999999</v>
      </c>
      <c r="N883">
        <v>2</v>
      </c>
      <c r="O883">
        <v>56</v>
      </c>
      <c r="P883">
        <v>58</v>
      </c>
      <c r="Q883" s="2">
        <f>DATE(mergedcleandataset[[#This Row],[yr]],mergedcleandataset[[#This Row],[mnth]],mergedcleandataset[[#This Row],[day]])</f>
        <v>40583</v>
      </c>
      <c r="R883">
        <f>DAY(mergedcleandataset[[#This Row],[dteday]])</f>
        <v>9</v>
      </c>
      <c r="S883" t="str">
        <f>IF(mergedcleandataset[[#This Row],[weekday]]&gt;=5,"Yes","No")</f>
        <v>No</v>
      </c>
      <c r="T883" t="b">
        <f>ISBLANK(mergedcleandataset[[#This Row],[atemp]])</f>
        <v>0</v>
      </c>
      <c r="U883" t="str">
        <f t="shared" si="13"/>
        <v>Spring</v>
      </c>
      <c r="V883" t="str">
        <f>TEXT(mergedcleandataset[[#This Row],[date]],"dddd")</f>
        <v>Wednesday</v>
      </c>
      <c r="W88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884" spans="1:23" x14ac:dyDescent="0.25">
      <c r="A884">
        <v>892</v>
      </c>
      <c r="B884" s="1">
        <v>40583</v>
      </c>
      <c r="C884">
        <v>1</v>
      </c>
      <c r="D884" t="str">
        <f>TEXT(mergedcleandataset[[#This Row],[dteday]],"yyyy")</f>
        <v>2011</v>
      </c>
      <c r="E884">
        <v>2</v>
      </c>
      <c r="F884">
        <v>15</v>
      </c>
      <c r="G884" t="b">
        <v>0</v>
      </c>
      <c r="H884">
        <v>3</v>
      </c>
      <c r="I884">
        <v>2</v>
      </c>
      <c r="J884">
        <v>0.2</v>
      </c>
      <c r="K884">
        <v>0.18179999999999999</v>
      </c>
      <c r="L884">
        <v>0.34</v>
      </c>
      <c r="M884">
        <v>0.28360000000000002</v>
      </c>
      <c r="N884">
        <v>3</v>
      </c>
      <c r="O884">
        <v>61</v>
      </c>
      <c r="P884">
        <v>64</v>
      </c>
      <c r="Q884" s="2">
        <f>DATE(mergedcleandataset[[#This Row],[yr]],mergedcleandataset[[#This Row],[mnth]],mergedcleandataset[[#This Row],[day]])</f>
        <v>40583</v>
      </c>
      <c r="R884">
        <f>DAY(mergedcleandataset[[#This Row],[dteday]])</f>
        <v>9</v>
      </c>
      <c r="S884" t="str">
        <f>IF(mergedcleandataset[[#This Row],[weekday]]&gt;=5,"Yes","No")</f>
        <v>No</v>
      </c>
      <c r="T884" t="b">
        <f>ISBLANK(mergedcleandataset[[#This Row],[atemp]])</f>
        <v>0</v>
      </c>
      <c r="U884" t="str">
        <f t="shared" si="13"/>
        <v>Spring</v>
      </c>
      <c r="V884" t="str">
        <f>TEXT(mergedcleandataset[[#This Row],[date]],"dddd")</f>
        <v>Wednesday</v>
      </c>
      <c r="W88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85" spans="1:23" x14ac:dyDescent="0.25">
      <c r="A885">
        <v>893</v>
      </c>
      <c r="B885" s="1">
        <v>40583</v>
      </c>
      <c r="C885">
        <v>1</v>
      </c>
      <c r="D885" t="str">
        <f>TEXT(mergedcleandataset[[#This Row],[dteday]],"yyyy")</f>
        <v>2011</v>
      </c>
      <c r="E885">
        <v>2</v>
      </c>
      <c r="F885">
        <v>16</v>
      </c>
      <c r="G885" t="b">
        <v>0</v>
      </c>
      <c r="H885">
        <v>3</v>
      </c>
      <c r="I885">
        <v>2</v>
      </c>
      <c r="J885">
        <v>0.2</v>
      </c>
      <c r="K885">
        <v>0.19700000000000001</v>
      </c>
      <c r="L885">
        <v>0.37</v>
      </c>
      <c r="M885">
        <v>0.25369999999999998</v>
      </c>
      <c r="N885">
        <v>7</v>
      </c>
      <c r="O885">
        <v>72</v>
      </c>
      <c r="P885">
        <v>79</v>
      </c>
      <c r="Q885" s="2">
        <f>DATE(mergedcleandataset[[#This Row],[yr]],mergedcleandataset[[#This Row],[mnth]],mergedcleandataset[[#This Row],[day]])</f>
        <v>40583</v>
      </c>
      <c r="R885">
        <f>DAY(mergedcleandataset[[#This Row],[dteday]])</f>
        <v>9</v>
      </c>
      <c r="S885" t="str">
        <f>IF(mergedcleandataset[[#This Row],[weekday]]&gt;=5,"Yes","No")</f>
        <v>No</v>
      </c>
      <c r="T885" t="b">
        <f>ISBLANK(mergedcleandataset[[#This Row],[atemp]])</f>
        <v>0</v>
      </c>
      <c r="U885" t="str">
        <f t="shared" si="13"/>
        <v>Spring</v>
      </c>
      <c r="V885" t="str">
        <f>TEXT(mergedcleandataset[[#This Row],[date]],"dddd")</f>
        <v>Wednesday</v>
      </c>
      <c r="W88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86" spans="1:23" x14ac:dyDescent="0.25">
      <c r="A886">
        <v>894</v>
      </c>
      <c r="B886" s="1">
        <v>40583</v>
      </c>
      <c r="C886">
        <v>1</v>
      </c>
      <c r="D886" t="str">
        <f>TEXT(mergedcleandataset[[#This Row],[dteday]],"yyyy")</f>
        <v>2011</v>
      </c>
      <c r="E886">
        <v>2</v>
      </c>
      <c r="F886">
        <v>17</v>
      </c>
      <c r="G886" t="b">
        <v>0</v>
      </c>
      <c r="H886">
        <v>3</v>
      </c>
      <c r="I886">
        <v>2</v>
      </c>
      <c r="J886">
        <v>0.2</v>
      </c>
      <c r="K886">
        <v>0.19700000000000001</v>
      </c>
      <c r="L886">
        <v>0.34</v>
      </c>
      <c r="M886">
        <v>0.25369999999999998</v>
      </c>
      <c r="N886">
        <v>9</v>
      </c>
      <c r="O886">
        <v>157</v>
      </c>
      <c r="P886">
        <v>166</v>
      </c>
      <c r="Q886" s="2">
        <f>DATE(mergedcleandataset[[#This Row],[yr]],mergedcleandataset[[#This Row],[mnth]],mergedcleandataset[[#This Row],[day]])</f>
        <v>40583</v>
      </c>
      <c r="R886">
        <f>DAY(mergedcleandataset[[#This Row],[dteday]])</f>
        <v>9</v>
      </c>
      <c r="S886" t="str">
        <f>IF(mergedcleandataset[[#This Row],[weekday]]&gt;=5,"Yes","No")</f>
        <v>No</v>
      </c>
      <c r="T886" t="b">
        <f>ISBLANK(mergedcleandataset[[#This Row],[atemp]])</f>
        <v>0</v>
      </c>
      <c r="U886" t="str">
        <f t="shared" si="13"/>
        <v>Spring</v>
      </c>
      <c r="V886" t="str">
        <f>TEXT(mergedcleandataset[[#This Row],[date]],"dddd")</f>
        <v>Wednesday</v>
      </c>
      <c r="W88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87" spans="1:23" x14ac:dyDescent="0.25">
      <c r="A887">
        <v>895</v>
      </c>
      <c r="B887" s="1">
        <v>40583</v>
      </c>
      <c r="C887">
        <v>1</v>
      </c>
      <c r="D887" t="str">
        <f>TEXT(mergedcleandataset[[#This Row],[dteday]],"yyyy")</f>
        <v>2011</v>
      </c>
      <c r="E887">
        <v>2</v>
      </c>
      <c r="F887">
        <v>18</v>
      </c>
      <c r="G887" t="b">
        <v>0</v>
      </c>
      <c r="H887">
        <v>3</v>
      </c>
      <c r="I887">
        <v>2</v>
      </c>
      <c r="J887">
        <v>0.18</v>
      </c>
      <c r="K887">
        <v>0.16669999999999999</v>
      </c>
      <c r="L887">
        <v>0.47</v>
      </c>
      <c r="M887">
        <v>0.29849999999999999</v>
      </c>
      <c r="N887">
        <v>2</v>
      </c>
      <c r="O887">
        <v>168</v>
      </c>
      <c r="P887">
        <v>170</v>
      </c>
      <c r="Q887" s="2">
        <f>DATE(mergedcleandataset[[#This Row],[yr]],mergedcleandataset[[#This Row],[mnth]],mergedcleandataset[[#This Row],[day]])</f>
        <v>40583</v>
      </c>
      <c r="R887">
        <f>DAY(mergedcleandataset[[#This Row],[dteday]])</f>
        <v>9</v>
      </c>
      <c r="S887" t="str">
        <f>IF(mergedcleandataset[[#This Row],[weekday]]&gt;=5,"Yes","No")</f>
        <v>No</v>
      </c>
      <c r="T887" t="b">
        <f>ISBLANK(mergedcleandataset[[#This Row],[atemp]])</f>
        <v>0</v>
      </c>
      <c r="U887" t="str">
        <f t="shared" si="13"/>
        <v>Spring</v>
      </c>
      <c r="V887" t="str">
        <f>TEXT(mergedcleandataset[[#This Row],[date]],"dddd")</f>
        <v>Wednesday</v>
      </c>
      <c r="W88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88" spans="1:23" x14ac:dyDescent="0.25">
      <c r="A888">
        <v>896</v>
      </c>
      <c r="B888" s="1">
        <v>40583</v>
      </c>
      <c r="C888">
        <v>1</v>
      </c>
      <c r="D888" t="str">
        <f>TEXT(mergedcleandataset[[#This Row],[dteday]],"yyyy")</f>
        <v>2011</v>
      </c>
      <c r="E888">
        <v>2</v>
      </c>
      <c r="F888">
        <v>19</v>
      </c>
      <c r="G888" t="b">
        <v>0</v>
      </c>
      <c r="H888">
        <v>3</v>
      </c>
      <c r="I888">
        <v>3</v>
      </c>
      <c r="J888">
        <v>0.14000000000000001</v>
      </c>
      <c r="K888">
        <v>0.1212</v>
      </c>
      <c r="L888">
        <v>0.86</v>
      </c>
      <c r="M888">
        <v>0.25369999999999998</v>
      </c>
      <c r="N888">
        <v>1</v>
      </c>
      <c r="O888">
        <v>87</v>
      </c>
      <c r="P888">
        <v>88</v>
      </c>
      <c r="Q888" s="2">
        <f>DATE(mergedcleandataset[[#This Row],[yr]],mergedcleandataset[[#This Row],[mnth]],mergedcleandataset[[#This Row],[day]])</f>
        <v>40583</v>
      </c>
      <c r="R888">
        <f>DAY(mergedcleandataset[[#This Row],[dteday]])</f>
        <v>9</v>
      </c>
      <c r="S888" t="str">
        <f>IF(mergedcleandataset[[#This Row],[weekday]]&gt;=5,"Yes","No")</f>
        <v>No</v>
      </c>
      <c r="T888" t="b">
        <f>ISBLANK(mergedcleandataset[[#This Row],[atemp]])</f>
        <v>0</v>
      </c>
      <c r="U888" t="str">
        <f t="shared" si="13"/>
        <v>Spring</v>
      </c>
      <c r="V888" t="str">
        <f>TEXT(mergedcleandataset[[#This Row],[date]],"dddd")</f>
        <v>Wednesday</v>
      </c>
      <c r="W888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89" spans="1:23" x14ac:dyDescent="0.25">
      <c r="A889">
        <v>897</v>
      </c>
      <c r="B889" s="1">
        <v>40583</v>
      </c>
      <c r="C889">
        <v>1</v>
      </c>
      <c r="D889" t="str">
        <f>TEXT(mergedcleandataset[[#This Row],[dteday]],"yyyy")</f>
        <v>2011</v>
      </c>
      <c r="E889">
        <v>2</v>
      </c>
      <c r="F889">
        <v>20</v>
      </c>
      <c r="G889" t="b">
        <v>0</v>
      </c>
      <c r="H889">
        <v>3</v>
      </c>
      <c r="I889">
        <v>3</v>
      </c>
      <c r="J889">
        <v>0.14000000000000001</v>
      </c>
      <c r="K889">
        <v>0.1515</v>
      </c>
      <c r="L889">
        <v>0.86</v>
      </c>
      <c r="M889">
        <v>0.16420000000000001</v>
      </c>
      <c r="N889">
        <v>0</v>
      </c>
      <c r="O889">
        <v>84</v>
      </c>
      <c r="P889">
        <v>84</v>
      </c>
      <c r="Q889" s="2">
        <f>DATE(mergedcleandataset[[#This Row],[yr]],mergedcleandataset[[#This Row],[mnth]],mergedcleandataset[[#This Row],[day]])</f>
        <v>40583</v>
      </c>
      <c r="R889">
        <f>DAY(mergedcleandataset[[#This Row],[dteday]])</f>
        <v>9</v>
      </c>
      <c r="S889" t="str">
        <f>IF(mergedcleandataset[[#This Row],[weekday]]&gt;=5,"Yes","No")</f>
        <v>No</v>
      </c>
      <c r="T889" t="b">
        <f>ISBLANK(mergedcleandataset[[#This Row],[atemp]])</f>
        <v>0</v>
      </c>
      <c r="U889" t="str">
        <f t="shared" si="13"/>
        <v>Spring</v>
      </c>
      <c r="V889" t="str">
        <f>TEXT(mergedcleandataset[[#This Row],[date]],"dddd")</f>
        <v>Wednesday</v>
      </c>
      <c r="W889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90" spans="1:23" x14ac:dyDescent="0.25">
      <c r="A890">
        <v>898</v>
      </c>
      <c r="B890" s="1">
        <v>40583</v>
      </c>
      <c r="C890">
        <v>1</v>
      </c>
      <c r="D890" t="str">
        <f>TEXT(mergedcleandataset[[#This Row],[dteday]],"yyyy")</f>
        <v>2011</v>
      </c>
      <c r="E890">
        <v>2</v>
      </c>
      <c r="F890">
        <v>21</v>
      </c>
      <c r="G890" t="b">
        <v>0</v>
      </c>
      <c r="H890">
        <v>3</v>
      </c>
      <c r="I890">
        <v>2</v>
      </c>
      <c r="J890">
        <v>0.14000000000000001</v>
      </c>
      <c r="K890">
        <v>0.1515</v>
      </c>
      <c r="L890">
        <v>0.86</v>
      </c>
      <c r="M890">
        <v>0.16420000000000001</v>
      </c>
      <c r="N890">
        <v>0</v>
      </c>
      <c r="O890">
        <v>83</v>
      </c>
      <c r="P890">
        <v>83</v>
      </c>
      <c r="Q890" s="2">
        <f>DATE(mergedcleandataset[[#This Row],[yr]],mergedcleandataset[[#This Row],[mnth]],mergedcleandataset[[#This Row],[day]])</f>
        <v>40583</v>
      </c>
      <c r="R890">
        <f>DAY(mergedcleandataset[[#This Row],[dteday]])</f>
        <v>9</v>
      </c>
      <c r="S890" t="str">
        <f>IF(mergedcleandataset[[#This Row],[weekday]]&gt;=5,"Yes","No")</f>
        <v>No</v>
      </c>
      <c r="T890" t="b">
        <f>ISBLANK(mergedcleandataset[[#This Row],[atemp]])</f>
        <v>0</v>
      </c>
      <c r="U890" t="str">
        <f t="shared" si="13"/>
        <v>Spring</v>
      </c>
      <c r="V890" t="str">
        <f>TEXT(mergedcleandataset[[#This Row],[date]],"dddd")</f>
        <v>Wednesday</v>
      </c>
      <c r="W89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91" spans="1:23" x14ac:dyDescent="0.25">
      <c r="A891">
        <v>899</v>
      </c>
      <c r="B891" s="1">
        <v>40583</v>
      </c>
      <c r="C891">
        <v>1</v>
      </c>
      <c r="D891" t="str">
        <f>TEXT(mergedcleandataset[[#This Row],[dteday]],"yyyy")</f>
        <v>2011</v>
      </c>
      <c r="E891">
        <v>2</v>
      </c>
      <c r="F891">
        <v>22</v>
      </c>
      <c r="G891" t="b">
        <v>0</v>
      </c>
      <c r="H891">
        <v>3</v>
      </c>
      <c r="I891">
        <v>3</v>
      </c>
      <c r="J891">
        <v>0.16</v>
      </c>
      <c r="K891">
        <v>0.16669999999999999</v>
      </c>
      <c r="L891">
        <v>0.8</v>
      </c>
      <c r="M891">
        <v>0.16420000000000001</v>
      </c>
      <c r="N891">
        <v>4</v>
      </c>
      <c r="O891">
        <v>42</v>
      </c>
      <c r="P891">
        <v>46</v>
      </c>
      <c r="Q891" s="2">
        <f>DATE(mergedcleandataset[[#This Row],[yr]],mergedcleandataset[[#This Row],[mnth]],mergedcleandataset[[#This Row],[day]])</f>
        <v>40583</v>
      </c>
      <c r="R891">
        <f>DAY(mergedcleandataset[[#This Row],[dteday]])</f>
        <v>9</v>
      </c>
      <c r="S891" t="str">
        <f>IF(mergedcleandataset[[#This Row],[weekday]]&gt;=5,"Yes","No")</f>
        <v>No</v>
      </c>
      <c r="T891" t="b">
        <f>ISBLANK(mergedcleandataset[[#This Row],[atemp]])</f>
        <v>0</v>
      </c>
      <c r="U891" t="str">
        <f t="shared" si="13"/>
        <v>Spring</v>
      </c>
      <c r="V891" t="str">
        <f>TEXT(mergedcleandataset[[#This Row],[date]],"dddd")</f>
        <v>Wednesday</v>
      </c>
      <c r="W891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92" spans="1:23" x14ac:dyDescent="0.25">
      <c r="A892">
        <v>900</v>
      </c>
      <c r="B892" s="1">
        <v>40583</v>
      </c>
      <c r="C892">
        <v>1</v>
      </c>
      <c r="D892" t="str">
        <f>TEXT(mergedcleandataset[[#This Row],[dteday]],"yyyy")</f>
        <v>2011</v>
      </c>
      <c r="E892">
        <v>2</v>
      </c>
      <c r="F892">
        <v>23</v>
      </c>
      <c r="G892" t="b">
        <v>0</v>
      </c>
      <c r="H892">
        <v>3</v>
      </c>
      <c r="I892">
        <v>3</v>
      </c>
      <c r="J892">
        <v>0.16</v>
      </c>
      <c r="K892">
        <v>0.1515</v>
      </c>
      <c r="L892">
        <v>0.8</v>
      </c>
      <c r="M892">
        <v>0.19400000000000001</v>
      </c>
      <c r="N892">
        <v>0</v>
      </c>
      <c r="O892">
        <v>37</v>
      </c>
      <c r="P892">
        <v>37</v>
      </c>
      <c r="Q892" s="2">
        <f>DATE(mergedcleandataset[[#This Row],[yr]],mergedcleandataset[[#This Row],[mnth]],mergedcleandataset[[#This Row],[day]])</f>
        <v>40583</v>
      </c>
      <c r="R892">
        <f>DAY(mergedcleandataset[[#This Row],[dteday]])</f>
        <v>9</v>
      </c>
      <c r="S892" t="str">
        <f>IF(mergedcleandataset[[#This Row],[weekday]]&gt;=5,"Yes","No")</f>
        <v>No</v>
      </c>
      <c r="T892" t="b">
        <f>ISBLANK(mergedcleandataset[[#This Row],[atemp]])</f>
        <v>0</v>
      </c>
      <c r="U892" t="str">
        <f t="shared" si="13"/>
        <v>Spring</v>
      </c>
      <c r="V892" t="str">
        <f>TEXT(mergedcleandataset[[#This Row],[date]],"dddd")</f>
        <v>Wednesday</v>
      </c>
      <c r="W892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93" spans="1:23" x14ac:dyDescent="0.25">
      <c r="A893">
        <v>901</v>
      </c>
      <c r="B893" s="1">
        <v>40584</v>
      </c>
      <c r="C893">
        <v>1</v>
      </c>
      <c r="D893" t="str">
        <f>TEXT(mergedcleandataset[[#This Row],[dteday]],"yyyy")</f>
        <v>2011</v>
      </c>
      <c r="E893">
        <v>2</v>
      </c>
      <c r="F893">
        <v>0</v>
      </c>
      <c r="G893" t="b">
        <v>0</v>
      </c>
      <c r="H893">
        <v>4</v>
      </c>
      <c r="I893">
        <v>3</v>
      </c>
      <c r="J893">
        <v>0.14000000000000001</v>
      </c>
      <c r="K893">
        <v>0.13639999999999999</v>
      </c>
      <c r="L893">
        <v>0.86</v>
      </c>
      <c r="M893">
        <v>0.19400000000000001</v>
      </c>
      <c r="N893">
        <v>0</v>
      </c>
      <c r="O893">
        <v>16</v>
      </c>
      <c r="P893">
        <v>16</v>
      </c>
      <c r="Q893" s="2">
        <f>DATE(mergedcleandataset[[#This Row],[yr]],mergedcleandataset[[#This Row],[mnth]],mergedcleandataset[[#This Row],[day]])</f>
        <v>40584</v>
      </c>
      <c r="R893">
        <f>DAY(mergedcleandataset[[#This Row],[dteday]])</f>
        <v>10</v>
      </c>
      <c r="S893" t="str">
        <f>IF(mergedcleandataset[[#This Row],[weekday]]&gt;=5,"Yes","No")</f>
        <v>No</v>
      </c>
      <c r="T893" t="b">
        <f>ISBLANK(mergedcleandataset[[#This Row],[atemp]])</f>
        <v>0</v>
      </c>
      <c r="U893" t="str">
        <f t="shared" si="13"/>
        <v>Spring</v>
      </c>
      <c r="V893" t="str">
        <f>TEXT(mergedcleandataset[[#This Row],[date]],"dddd")</f>
        <v>Thursday</v>
      </c>
      <c r="W893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94" spans="1:23" x14ac:dyDescent="0.25">
      <c r="A894">
        <v>902</v>
      </c>
      <c r="B894" s="1">
        <v>40584</v>
      </c>
      <c r="C894">
        <v>1</v>
      </c>
      <c r="D894" t="str">
        <f>TEXT(mergedcleandataset[[#This Row],[dteday]],"yyyy")</f>
        <v>2011</v>
      </c>
      <c r="E894">
        <v>2</v>
      </c>
      <c r="F894">
        <v>1</v>
      </c>
      <c r="G894" t="b">
        <v>0</v>
      </c>
      <c r="H894">
        <v>4</v>
      </c>
      <c r="I894">
        <v>3</v>
      </c>
      <c r="J894">
        <v>0.14000000000000001</v>
      </c>
      <c r="K894">
        <v>0.1515</v>
      </c>
      <c r="L894">
        <v>0.8</v>
      </c>
      <c r="M894">
        <v>0.1343</v>
      </c>
      <c r="N894">
        <v>0</v>
      </c>
      <c r="O894">
        <v>7</v>
      </c>
      <c r="P894">
        <v>7</v>
      </c>
      <c r="Q894" s="2">
        <f>DATE(mergedcleandataset[[#This Row],[yr]],mergedcleandataset[[#This Row],[mnth]],mergedcleandataset[[#This Row],[day]])</f>
        <v>40584</v>
      </c>
      <c r="R894">
        <f>DAY(mergedcleandataset[[#This Row],[dteday]])</f>
        <v>10</v>
      </c>
      <c r="S894" t="str">
        <f>IF(mergedcleandataset[[#This Row],[weekday]]&gt;=5,"Yes","No")</f>
        <v>No</v>
      </c>
      <c r="T894" t="b">
        <f>ISBLANK(mergedcleandataset[[#This Row],[atemp]])</f>
        <v>0</v>
      </c>
      <c r="U894" t="str">
        <f t="shared" si="13"/>
        <v>Spring</v>
      </c>
      <c r="V894" t="str">
        <f>TEXT(mergedcleandataset[[#This Row],[date]],"dddd")</f>
        <v>Thursday</v>
      </c>
      <c r="W894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95" spans="1:23" x14ac:dyDescent="0.25">
      <c r="A895">
        <v>903</v>
      </c>
      <c r="B895" s="1">
        <v>40584</v>
      </c>
      <c r="C895">
        <v>1</v>
      </c>
      <c r="D895" t="str">
        <f>TEXT(mergedcleandataset[[#This Row],[dteday]],"yyyy")</f>
        <v>2011</v>
      </c>
      <c r="E895">
        <v>2</v>
      </c>
      <c r="F895">
        <v>2</v>
      </c>
      <c r="G895" t="b">
        <v>0</v>
      </c>
      <c r="H895">
        <v>4</v>
      </c>
      <c r="I895">
        <v>3</v>
      </c>
      <c r="J895">
        <v>0.14000000000000001</v>
      </c>
      <c r="K895">
        <v>0.1515</v>
      </c>
      <c r="L895">
        <v>0.8</v>
      </c>
      <c r="M895">
        <v>0.1343</v>
      </c>
      <c r="N895">
        <v>0</v>
      </c>
      <c r="O895">
        <v>3</v>
      </c>
      <c r="P895">
        <v>3</v>
      </c>
      <c r="Q895" s="2">
        <f>DATE(mergedcleandataset[[#This Row],[yr]],mergedcleandataset[[#This Row],[mnth]],mergedcleandataset[[#This Row],[day]])</f>
        <v>40584</v>
      </c>
      <c r="R895">
        <f>DAY(mergedcleandataset[[#This Row],[dteday]])</f>
        <v>10</v>
      </c>
      <c r="S895" t="str">
        <f>IF(mergedcleandataset[[#This Row],[weekday]]&gt;=5,"Yes","No")</f>
        <v>No</v>
      </c>
      <c r="T895" t="b">
        <f>ISBLANK(mergedcleandataset[[#This Row],[atemp]])</f>
        <v>0</v>
      </c>
      <c r="U895" t="str">
        <f t="shared" si="13"/>
        <v>Spring</v>
      </c>
      <c r="V895" t="str">
        <f>TEXT(mergedcleandataset[[#This Row],[date]],"dddd")</f>
        <v>Thursday</v>
      </c>
      <c r="W895" t="str">
        <f>IF(mergedcleandataset[[#This Row],[weathersit]]=1,"Clear",
IF(mergedcleandataset[[#This Row],[weathersit]]=2,"Mist/Cloudy",
IF(mergedcleandataset[[#This Row],[weathersit]]=3,"Light Rain/Snow",
"Heavy Rain/Storm")))</f>
        <v>Light Rain/Snow</v>
      </c>
    </row>
    <row r="896" spans="1:23" x14ac:dyDescent="0.25">
      <c r="A896">
        <v>904</v>
      </c>
      <c r="B896" s="1">
        <v>40584</v>
      </c>
      <c r="C896">
        <v>1</v>
      </c>
      <c r="D896" t="str">
        <f>TEXT(mergedcleandataset[[#This Row],[dteday]],"yyyy")</f>
        <v>2011</v>
      </c>
      <c r="E896">
        <v>2</v>
      </c>
      <c r="F896">
        <v>4</v>
      </c>
      <c r="G896" t="b">
        <v>0</v>
      </c>
      <c r="H896">
        <v>4</v>
      </c>
      <c r="I896">
        <v>2</v>
      </c>
      <c r="J896">
        <v>0.14000000000000001</v>
      </c>
      <c r="K896">
        <v>0.13639999999999999</v>
      </c>
      <c r="L896">
        <v>0.59</v>
      </c>
      <c r="M896">
        <v>0.22389999999999999</v>
      </c>
      <c r="N896">
        <v>0</v>
      </c>
      <c r="O896">
        <v>1</v>
      </c>
      <c r="P896">
        <v>1</v>
      </c>
      <c r="Q896" s="2">
        <f>DATE(mergedcleandataset[[#This Row],[yr]],mergedcleandataset[[#This Row],[mnth]],mergedcleandataset[[#This Row],[day]])</f>
        <v>40584</v>
      </c>
      <c r="R896">
        <f>DAY(mergedcleandataset[[#This Row],[dteday]])</f>
        <v>10</v>
      </c>
      <c r="S896" t="str">
        <f>IF(mergedcleandataset[[#This Row],[weekday]]&gt;=5,"Yes","No")</f>
        <v>No</v>
      </c>
      <c r="T896" t="b">
        <f>ISBLANK(mergedcleandataset[[#This Row],[atemp]])</f>
        <v>0</v>
      </c>
      <c r="U896" t="str">
        <f t="shared" si="13"/>
        <v>Spring</v>
      </c>
      <c r="V896" t="str">
        <f>TEXT(mergedcleandataset[[#This Row],[date]],"dddd")</f>
        <v>Thursday</v>
      </c>
      <c r="W89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97" spans="1:23" x14ac:dyDescent="0.25">
      <c r="A897">
        <v>905</v>
      </c>
      <c r="B897" s="1">
        <v>40584</v>
      </c>
      <c r="C897">
        <v>1</v>
      </c>
      <c r="D897" t="str">
        <f>TEXT(mergedcleandataset[[#This Row],[dteday]],"yyyy")</f>
        <v>2011</v>
      </c>
      <c r="E897">
        <v>2</v>
      </c>
      <c r="F897">
        <v>5</v>
      </c>
      <c r="G897" t="b">
        <v>0</v>
      </c>
      <c r="H897">
        <v>4</v>
      </c>
      <c r="I897">
        <v>2</v>
      </c>
      <c r="J897">
        <v>0.12</v>
      </c>
      <c r="K897">
        <v>0.1212</v>
      </c>
      <c r="L897">
        <v>0.5</v>
      </c>
      <c r="M897">
        <v>0.22389999999999999</v>
      </c>
      <c r="N897">
        <v>0</v>
      </c>
      <c r="O897">
        <v>6</v>
      </c>
      <c r="P897">
        <v>6</v>
      </c>
      <c r="Q897" s="2">
        <f>DATE(mergedcleandataset[[#This Row],[yr]],mergedcleandataset[[#This Row],[mnth]],mergedcleandataset[[#This Row],[day]])</f>
        <v>40584</v>
      </c>
      <c r="R897">
        <f>DAY(mergedcleandataset[[#This Row],[dteday]])</f>
        <v>10</v>
      </c>
      <c r="S897" t="str">
        <f>IF(mergedcleandataset[[#This Row],[weekday]]&gt;=5,"Yes","No")</f>
        <v>No</v>
      </c>
      <c r="T897" t="b">
        <f>ISBLANK(mergedcleandataset[[#This Row],[atemp]])</f>
        <v>0</v>
      </c>
      <c r="U897" t="str">
        <f t="shared" si="13"/>
        <v>Spring</v>
      </c>
      <c r="V897" t="str">
        <f>TEXT(mergedcleandataset[[#This Row],[date]],"dddd")</f>
        <v>Thursday</v>
      </c>
      <c r="W89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98" spans="1:23" x14ac:dyDescent="0.25">
      <c r="A898">
        <v>906</v>
      </c>
      <c r="B898" s="1">
        <v>40584</v>
      </c>
      <c r="C898">
        <v>1</v>
      </c>
      <c r="D898" t="str">
        <f>TEXT(mergedcleandataset[[#This Row],[dteday]],"yyyy")</f>
        <v>2011</v>
      </c>
      <c r="E898">
        <v>2</v>
      </c>
      <c r="F898">
        <v>6</v>
      </c>
      <c r="G898" t="b">
        <v>0</v>
      </c>
      <c r="H898">
        <v>4</v>
      </c>
      <c r="I898">
        <v>2</v>
      </c>
      <c r="J898">
        <v>0.12</v>
      </c>
      <c r="K898">
        <v>0.1212</v>
      </c>
      <c r="L898">
        <v>0.54</v>
      </c>
      <c r="M898">
        <v>0.28360000000000002</v>
      </c>
      <c r="N898">
        <v>0</v>
      </c>
      <c r="O898">
        <v>26</v>
      </c>
      <c r="P898">
        <v>26</v>
      </c>
      <c r="Q898" s="2">
        <f>DATE(mergedcleandataset[[#This Row],[yr]],mergedcleandataset[[#This Row],[mnth]],mergedcleandataset[[#This Row],[day]])</f>
        <v>40584</v>
      </c>
      <c r="R898">
        <f>DAY(mergedcleandataset[[#This Row],[dteday]])</f>
        <v>10</v>
      </c>
      <c r="S898" t="str">
        <f>IF(mergedcleandataset[[#This Row],[weekday]]&gt;=5,"Yes","No")</f>
        <v>No</v>
      </c>
      <c r="T898" t="b">
        <f>ISBLANK(mergedcleandataset[[#This Row],[atemp]])</f>
        <v>0</v>
      </c>
      <c r="U898" t="str">
        <f t="shared" ref="U898:U961" si="14">IF(C898=1,"Spring",
IF(C898=2,"Summer",
IF(C898=3,"Fall",
IF(C898=4,"Winter","Unknown"))))</f>
        <v>Spring</v>
      </c>
      <c r="V898" t="str">
        <f>TEXT(mergedcleandataset[[#This Row],[date]],"dddd")</f>
        <v>Thursday</v>
      </c>
      <c r="W89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899" spans="1:23" x14ac:dyDescent="0.25">
      <c r="A899">
        <v>907</v>
      </c>
      <c r="B899" s="1">
        <v>40584</v>
      </c>
      <c r="C899">
        <v>1</v>
      </c>
      <c r="D899" t="str">
        <f>TEXT(mergedcleandataset[[#This Row],[dteday]],"yyyy")</f>
        <v>2011</v>
      </c>
      <c r="E899">
        <v>2</v>
      </c>
      <c r="F899">
        <v>7</v>
      </c>
      <c r="G899" t="b">
        <v>0</v>
      </c>
      <c r="H899">
        <v>4</v>
      </c>
      <c r="I899">
        <v>1</v>
      </c>
      <c r="J899">
        <v>0.1</v>
      </c>
      <c r="K899">
        <v>7.5800000000000006E-2</v>
      </c>
      <c r="L899">
        <v>0.5</v>
      </c>
      <c r="M899">
        <v>0.41789999999999999</v>
      </c>
      <c r="N899">
        <v>0</v>
      </c>
      <c r="O899">
        <v>99</v>
      </c>
      <c r="P899">
        <v>99</v>
      </c>
      <c r="Q899" s="2">
        <f>DATE(mergedcleandataset[[#This Row],[yr]],mergedcleandataset[[#This Row],[mnth]],mergedcleandataset[[#This Row],[day]])</f>
        <v>40584</v>
      </c>
      <c r="R899">
        <f>DAY(mergedcleandataset[[#This Row],[dteday]])</f>
        <v>10</v>
      </c>
      <c r="S899" t="str">
        <f>IF(mergedcleandataset[[#This Row],[weekday]]&gt;=5,"Yes","No")</f>
        <v>No</v>
      </c>
      <c r="T899" t="b">
        <f>ISBLANK(mergedcleandataset[[#This Row],[atemp]])</f>
        <v>0</v>
      </c>
      <c r="U899" t="str">
        <f t="shared" si="14"/>
        <v>Spring</v>
      </c>
      <c r="V899" t="str">
        <f>TEXT(mergedcleandataset[[#This Row],[date]],"dddd")</f>
        <v>Thursday</v>
      </c>
      <c r="W8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0" spans="1:23" x14ac:dyDescent="0.25">
      <c r="A900">
        <v>908</v>
      </c>
      <c r="B900" s="1">
        <v>40584</v>
      </c>
      <c r="C900">
        <v>1</v>
      </c>
      <c r="D900" t="str">
        <f>TEXT(mergedcleandataset[[#This Row],[dteday]],"yyyy")</f>
        <v>2011</v>
      </c>
      <c r="E900">
        <v>2</v>
      </c>
      <c r="F900">
        <v>8</v>
      </c>
      <c r="G900" t="b">
        <v>0</v>
      </c>
      <c r="H900">
        <v>4</v>
      </c>
      <c r="I900">
        <v>1</v>
      </c>
      <c r="J900">
        <v>0.1</v>
      </c>
      <c r="K900">
        <v>7.5800000000000006E-2</v>
      </c>
      <c r="L900">
        <v>0.49</v>
      </c>
      <c r="M900">
        <v>0.32840000000000003</v>
      </c>
      <c r="N900">
        <v>5</v>
      </c>
      <c r="O900">
        <v>173</v>
      </c>
      <c r="P900">
        <v>178</v>
      </c>
      <c r="Q900" s="2">
        <f>DATE(mergedcleandataset[[#This Row],[yr]],mergedcleandataset[[#This Row],[mnth]],mergedcleandataset[[#This Row],[day]])</f>
        <v>40584</v>
      </c>
      <c r="R900">
        <f>DAY(mergedcleandataset[[#This Row],[dteday]])</f>
        <v>10</v>
      </c>
      <c r="S900" t="str">
        <f>IF(mergedcleandataset[[#This Row],[weekday]]&gt;=5,"Yes","No")</f>
        <v>No</v>
      </c>
      <c r="T900" t="b">
        <f>ISBLANK(mergedcleandataset[[#This Row],[atemp]])</f>
        <v>0</v>
      </c>
      <c r="U900" t="str">
        <f t="shared" si="14"/>
        <v>Spring</v>
      </c>
      <c r="V900" t="str">
        <f>TEXT(mergedcleandataset[[#This Row],[date]],"dddd")</f>
        <v>Thursday</v>
      </c>
      <c r="W9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1" spans="1:23" x14ac:dyDescent="0.25">
      <c r="A901">
        <v>909</v>
      </c>
      <c r="B901" s="1">
        <v>40584</v>
      </c>
      <c r="C901">
        <v>1</v>
      </c>
      <c r="D901" t="str">
        <f>TEXT(mergedcleandataset[[#This Row],[dteday]],"yyyy")</f>
        <v>2011</v>
      </c>
      <c r="E901">
        <v>2</v>
      </c>
      <c r="F901">
        <v>9</v>
      </c>
      <c r="G901" t="b">
        <v>0</v>
      </c>
      <c r="H901">
        <v>4</v>
      </c>
      <c r="I901">
        <v>1</v>
      </c>
      <c r="J901">
        <v>0.12</v>
      </c>
      <c r="K901">
        <v>0.1061</v>
      </c>
      <c r="L901">
        <v>0.42</v>
      </c>
      <c r="M901">
        <v>0.35820000000000002</v>
      </c>
      <c r="N901">
        <v>1</v>
      </c>
      <c r="O901">
        <v>121</v>
      </c>
      <c r="P901">
        <v>122</v>
      </c>
      <c r="Q901" s="2">
        <f>DATE(mergedcleandataset[[#This Row],[yr]],mergedcleandataset[[#This Row],[mnth]],mergedcleandataset[[#This Row],[day]])</f>
        <v>40584</v>
      </c>
      <c r="R901">
        <f>DAY(mergedcleandataset[[#This Row],[dteday]])</f>
        <v>10</v>
      </c>
      <c r="S901" t="str">
        <f>IF(mergedcleandataset[[#This Row],[weekday]]&gt;=5,"Yes","No")</f>
        <v>No</v>
      </c>
      <c r="T901" t="b">
        <f>ISBLANK(mergedcleandataset[[#This Row],[atemp]])</f>
        <v>0</v>
      </c>
      <c r="U901" t="str">
        <f t="shared" si="14"/>
        <v>Spring</v>
      </c>
      <c r="V901" t="str">
        <f>TEXT(mergedcleandataset[[#This Row],[date]],"dddd")</f>
        <v>Thursday</v>
      </c>
      <c r="W9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2" spans="1:23" x14ac:dyDescent="0.25">
      <c r="A902">
        <v>910</v>
      </c>
      <c r="B902" s="1">
        <v>40584</v>
      </c>
      <c r="C902">
        <v>1</v>
      </c>
      <c r="D902" t="str">
        <f>TEXT(mergedcleandataset[[#This Row],[dteday]],"yyyy")</f>
        <v>2011</v>
      </c>
      <c r="E902">
        <v>2</v>
      </c>
      <c r="F902">
        <v>10</v>
      </c>
      <c r="G902" t="b">
        <v>0</v>
      </c>
      <c r="H902">
        <v>4</v>
      </c>
      <c r="I902">
        <v>1</v>
      </c>
      <c r="J902">
        <v>0.12</v>
      </c>
      <c r="K902">
        <v>0.1061</v>
      </c>
      <c r="L902">
        <v>0.42</v>
      </c>
      <c r="M902">
        <v>0.29849999999999999</v>
      </c>
      <c r="N902">
        <v>1</v>
      </c>
      <c r="O902">
        <v>34</v>
      </c>
      <c r="P902">
        <v>35</v>
      </c>
      <c r="Q902" s="2">
        <f>DATE(mergedcleandataset[[#This Row],[yr]],mergedcleandataset[[#This Row],[mnth]],mergedcleandataset[[#This Row],[day]])</f>
        <v>40584</v>
      </c>
      <c r="R902">
        <f>DAY(mergedcleandataset[[#This Row],[dteday]])</f>
        <v>10</v>
      </c>
      <c r="S902" t="str">
        <f>IF(mergedcleandataset[[#This Row],[weekday]]&gt;=5,"Yes","No")</f>
        <v>No</v>
      </c>
      <c r="T902" t="b">
        <f>ISBLANK(mergedcleandataset[[#This Row],[atemp]])</f>
        <v>0</v>
      </c>
      <c r="U902" t="str">
        <f t="shared" si="14"/>
        <v>Spring</v>
      </c>
      <c r="V902" t="str">
        <f>TEXT(mergedcleandataset[[#This Row],[date]],"dddd")</f>
        <v>Thursday</v>
      </c>
      <c r="W90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3" spans="1:23" x14ac:dyDescent="0.25">
      <c r="A903">
        <v>911</v>
      </c>
      <c r="B903" s="1">
        <v>40584</v>
      </c>
      <c r="C903">
        <v>1</v>
      </c>
      <c r="D903" t="str">
        <f>TEXT(mergedcleandataset[[#This Row],[dteday]],"yyyy")</f>
        <v>2011</v>
      </c>
      <c r="E903">
        <v>2</v>
      </c>
      <c r="F903">
        <v>11</v>
      </c>
      <c r="G903" t="b">
        <v>0</v>
      </c>
      <c r="H903">
        <v>4</v>
      </c>
      <c r="I903">
        <v>1</v>
      </c>
      <c r="J903">
        <v>0.14000000000000001</v>
      </c>
      <c r="K903">
        <v>0.1212</v>
      </c>
      <c r="L903">
        <v>0.39</v>
      </c>
      <c r="M903">
        <v>0.35820000000000002</v>
      </c>
      <c r="N903">
        <v>1</v>
      </c>
      <c r="O903">
        <v>44</v>
      </c>
      <c r="P903">
        <v>45</v>
      </c>
      <c r="Q903" s="2">
        <f>DATE(mergedcleandataset[[#This Row],[yr]],mergedcleandataset[[#This Row],[mnth]],mergedcleandataset[[#This Row],[day]])</f>
        <v>40584</v>
      </c>
      <c r="R903">
        <f>DAY(mergedcleandataset[[#This Row],[dteday]])</f>
        <v>10</v>
      </c>
      <c r="S903" t="str">
        <f>IF(mergedcleandataset[[#This Row],[weekday]]&gt;=5,"Yes","No")</f>
        <v>No</v>
      </c>
      <c r="T903" t="b">
        <f>ISBLANK(mergedcleandataset[[#This Row],[atemp]])</f>
        <v>0</v>
      </c>
      <c r="U903" t="str">
        <f t="shared" si="14"/>
        <v>Spring</v>
      </c>
      <c r="V903" t="str">
        <f>TEXT(mergedcleandataset[[#This Row],[date]],"dddd")</f>
        <v>Thursday</v>
      </c>
      <c r="W90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4" spans="1:23" x14ac:dyDescent="0.25">
      <c r="A904">
        <v>912</v>
      </c>
      <c r="B904" s="1">
        <v>40584</v>
      </c>
      <c r="C904">
        <v>1</v>
      </c>
      <c r="D904" t="str">
        <f>TEXT(mergedcleandataset[[#This Row],[dteday]],"yyyy")</f>
        <v>2011</v>
      </c>
      <c r="E904">
        <v>2</v>
      </c>
      <c r="F904">
        <v>12</v>
      </c>
      <c r="G904" t="b">
        <v>0</v>
      </c>
      <c r="H904">
        <v>4</v>
      </c>
      <c r="I904">
        <v>1</v>
      </c>
      <c r="J904">
        <v>0.16</v>
      </c>
      <c r="K904">
        <v>0.13639999999999999</v>
      </c>
      <c r="L904">
        <v>0.34</v>
      </c>
      <c r="M904">
        <v>0.3881</v>
      </c>
      <c r="N904">
        <v>4</v>
      </c>
      <c r="O904">
        <v>65</v>
      </c>
      <c r="P904">
        <v>69</v>
      </c>
      <c r="Q904" s="2">
        <f>DATE(mergedcleandataset[[#This Row],[yr]],mergedcleandataset[[#This Row],[mnth]],mergedcleandataset[[#This Row],[day]])</f>
        <v>40584</v>
      </c>
      <c r="R904">
        <f>DAY(mergedcleandataset[[#This Row],[dteday]])</f>
        <v>10</v>
      </c>
      <c r="S904" t="str">
        <f>IF(mergedcleandataset[[#This Row],[weekday]]&gt;=5,"Yes","No")</f>
        <v>No</v>
      </c>
      <c r="T904" t="b">
        <f>ISBLANK(mergedcleandataset[[#This Row],[atemp]])</f>
        <v>0</v>
      </c>
      <c r="U904" t="str">
        <f t="shared" si="14"/>
        <v>Spring</v>
      </c>
      <c r="V904" t="str">
        <f>TEXT(mergedcleandataset[[#This Row],[date]],"dddd")</f>
        <v>Thursday</v>
      </c>
      <c r="W90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5" spans="1:23" x14ac:dyDescent="0.25">
      <c r="A905">
        <v>913</v>
      </c>
      <c r="B905" s="1">
        <v>40584</v>
      </c>
      <c r="C905">
        <v>1</v>
      </c>
      <c r="D905" t="str">
        <f>TEXT(mergedcleandataset[[#This Row],[dteday]],"yyyy")</f>
        <v>2011</v>
      </c>
      <c r="E905">
        <v>2</v>
      </c>
      <c r="F905">
        <v>13</v>
      </c>
      <c r="G905" t="b">
        <v>0</v>
      </c>
      <c r="H905">
        <v>4</v>
      </c>
      <c r="I905">
        <v>1</v>
      </c>
      <c r="J905">
        <v>0.18</v>
      </c>
      <c r="K905">
        <v>0.16669999999999999</v>
      </c>
      <c r="L905">
        <v>0.28999999999999998</v>
      </c>
      <c r="M905">
        <v>0.29849999999999999</v>
      </c>
      <c r="N905">
        <v>3</v>
      </c>
      <c r="O905">
        <v>59</v>
      </c>
      <c r="P905">
        <v>62</v>
      </c>
      <c r="Q905" s="2">
        <f>DATE(mergedcleandataset[[#This Row],[yr]],mergedcleandataset[[#This Row],[mnth]],mergedcleandataset[[#This Row],[day]])</f>
        <v>40584</v>
      </c>
      <c r="R905">
        <f>DAY(mergedcleandataset[[#This Row],[dteday]])</f>
        <v>10</v>
      </c>
      <c r="S905" t="str">
        <f>IF(mergedcleandataset[[#This Row],[weekday]]&gt;=5,"Yes","No")</f>
        <v>No</v>
      </c>
      <c r="T905" t="b">
        <f>ISBLANK(mergedcleandataset[[#This Row],[atemp]])</f>
        <v>0</v>
      </c>
      <c r="U905" t="str">
        <f t="shared" si="14"/>
        <v>Spring</v>
      </c>
      <c r="V905" t="str">
        <f>TEXT(mergedcleandataset[[#This Row],[date]],"dddd")</f>
        <v>Thursday</v>
      </c>
      <c r="W90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6" spans="1:23" x14ac:dyDescent="0.25">
      <c r="A906">
        <v>914</v>
      </c>
      <c r="B906" s="1">
        <v>40584</v>
      </c>
      <c r="C906">
        <v>1</v>
      </c>
      <c r="D906" t="str">
        <f>TEXT(mergedcleandataset[[#This Row],[dteday]],"yyyy")</f>
        <v>2011</v>
      </c>
      <c r="E906">
        <v>2</v>
      </c>
      <c r="F906">
        <v>14</v>
      </c>
      <c r="G906" t="b">
        <v>0</v>
      </c>
      <c r="H906">
        <v>4</v>
      </c>
      <c r="I906">
        <v>1</v>
      </c>
      <c r="J906">
        <v>0.2</v>
      </c>
      <c r="K906">
        <v>0.18179999999999999</v>
      </c>
      <c r="L906">
        <v>0.27</v>
      </c>
      <c r="M906">
        <v>0.28360000000000002</v>
      </c>
      <c r="N906">
        <v>6</v>
      </c>
      <c r="O906">
        <v>42</v>
      </c>
      <c r="P906">
        <v>48</v>
      </c>
      <c r="Q906" s="2">
        <f>DATE(mergedcleandataset[[#This Row],[yr]],mergedcleandataset[[#This Row],[mnth]],mergedcleandataset[[#This Row],[day]])</f>
        <v>40584</v>
      </c>
      <c r="R906">
        <f>DAY(mergedcleandataset[[#This Row],[dteday]])</f>
        <v>10</v>
      </c>
      <c r="S906" t="str">
        <f>IF(mergedcleandataset[[#This Row],[weekday]]&gt;=5,"Yes","No")</f>
        <v>No</v>
      </c>
      <c r="T906" t="b">
        <f>ISBLANK(mergedcleandataset[[#This Row],[atemp]])</f>
        <v>0</v>
      </c>
      <c r="U906" t="str">
        <f t="shared" si="14"/>
        <v>Spring</v>
      </c>
      <c r="V906" t="str">
        <f>TEXT(mergedcleandataset[[#This Row],[date]],"dddd")</f>
        <v>Thursday</v>
      </c>
      <c r="W90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7" spans="1:23" x14ac:dyDescent="0.25">
      <c r="A907">
        <v>915</v>
      </c>
      <c r="B907" s="1">
        <v>40584</v>
      </c>
      <c r="C907">
        <v>1</v>
      </c>
      <c r="D907" t="str">
        <f>TEXT(mergedcleandataset[[#This Row],[dteday]],"yyyy")</f>
        <v>2011</v>
      </c>
      <c r="E907">
        <v>2</v>
      </c>
      <c r="F907">
        <v>15</v>
      </c>
      <c r="G907" t="b">
        <v>0</v>
      </c>
      <c r="H907">
        <v>4</v>
      </c>
      <c r="I907">
        <v>1</v>
      </c>
      <c r="J907">
        <v>0.2</v>
      </c>
      <c r="K907">
        <v>0.19700000000000001</v>
      </c>
      <c r="L907">
        <v>0.25</v>
      </c>
      <c r="M907">
        <v>0.25369999999999998</v>
      </c>
      <c r="N907">
        <v>0</v>
      </c>
      <c r="O907">
        <v>50</v>
      </c>
      <c r="P907">
        <v>50</v>
      </c>
      <c r="Q907" s="2">
        <f>DATE(mergedcleandataset[[#This Row],[yr]],mergedcleandataset[[#This Row],[mnth]],mergedcleandataset[[#This Row],[day]])</f>
        <v>40584</v>
      </c>
      <c r="R907">
        <f>DAY(mergedcleandataset[[#This Row],[dteday]])</f>
        <v>10</v>
      </c>
      <c r="S907" t="str">
        <f>IF(mergedcleandataset[[#This Row],[weekday]]&gt;=5,"Yes","No")</f>
        <v>No</v>
      </c>
      <c r="T907" t="b">
        <f>ISBLANK(mergedcleandataset[[#This Row],[atemp]])</f>
        <v>0</v>
      </c>
      <c r="U907" t="str">
        <f t="shared" si="14"/>
        <v>Spring</v>
      </c>
      <c r="V907" t="str">
        <f>TEXT(mergedcleandataset[[#This Row],[date]],"dddd")</f>
        <v>Thursday</v>
      </c>
      <c r="W90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8" spans="1:23" x14ac:dyDescent="0.25">
      <c r="A908">
        <v>916</v>
      </c>
      <c r="B908" s="1">
        <v>40584</v>
      </c>
      <c r="C908">
        <v>1</v>
      </c>
      <c r="D908" t="str">
        <f>TEXT(mergedcleandataset[[#This Row],[dteday]],"yyyy")</f>
        <v>2011</v>
      </c>
      <c r="E908">
        <v>2</v>
      </c>
      <c r="F908">
        <v>16</v>
      </c>
      <c r="G908" t="b">
        <v>0</v>
      </c>
      <c r="H908">
        <v>4</v>
      </c>
      <c r="I908">
        <v>1</v>
      </c>
      <c r="J908">
        <v>0.2</v>
      </c>
      <c r="K908">
        <v>0.18179999999999999</v>
      </c>
      <c r="L908">
        <v>0.27</v>
      </c>
      <c r="M908">
        <v>0.29849999999999999</v>
      </c>
      <c r="N908">
        <v>4</v>
      </c>
      <c r="O908">
        <v>76</v>
      </c>
      <c r="P908">
        <v>80</v>
      </c>
      <c r="Q908" s="2">
        <f>DATE(mergedcleandataset[[#This Row],[yr]],mergedcleandataset[[#This Row],[mnth]],mergedcleandataset[[#This Row],[day]])</f>
        <v>40584</v>
      </c>
      <c r="R908">
        <f>DAY(mergedcleandataset[[#This Row],[dteday]])</f>
        <v>10</v>
      </c>
      <c r="S908" t="str">
        <f>IF(mergedcleandataset[[#This Row],[weekday]]&gt;=5,"Yes","No")</f>
        <v>No</v>
      </c>
      <c r="T908" t="b">
        <f>ISBLANK(mergedcleandataset[[#This Row],[atemp]])</f>
        <v>0</v>
      </c>
      <c r="U908" t="str">
        <f t="shared" si="14"/>
        <v>Spring</v>
      </c>
      <c r="V908" t="str">
        <f>TEXT(mergedcleandataset[[#This Row],[date]],"dddd")</f>
        <v>Thursday</v>
      </c>
      <c r="W90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09" spans="1:23" x14ac:dyDescent="0.25">
      <c r="A909">
        <v>917</v>
      </c>
      <c r="B909" s="1">
        <v>40584</v>
      </c>
      <c r="C909">
        <v>1</v>
      </c>
      <c r="D909" t="str">
        <f>TEXT(mergedcleandataset[[#This Row],[dteday]],"yyyy")</f>
        <v>2011</v>
      </c>
      <c r="E909">
        <v>2</v>
      </c>
      <c r="F909">
        <v>17</v>
      </c>
      <c r="G909" t="b">
        <v>0</v>
      </c>
      <c r="H909">
        <v>4</v>
      </c>
      <c r="I909">
        <v>1</v>
      </c>
      <c r="J909">
        <v>0.18</v>
      </c>
      <c r="K909">
        <v>0.18179999999999999</v>
      </c>
      <c r="L909">
        <v>0.26</v>
      </c>
      <c r="M909">
        <v>0.19400000000000001</v>
      </c>
      <c r="N909">
        <v>6</v>
      </c>
      <c r="O909">
        <v>159</v>
      </c>
      <c r="P909">
        <v>165</v>
      </c>
      <c r="Q909" s="2">
        <f>DATE(mergedcleandataset[[#This Row],[yr]],mergedcleandataset[[#This Row],[mnth]],mergedcleandataset[[#This Row],[day]])</f>
        <v>40584</v>
      </c>
      <c r="R909">
        <f>DAY(mergedcleandataset[[#This Row],[dteday]])</f>
        <v>10</v>
      </c>
      <c r="S909" t="str">
        <f>IF(mergedcleandataset[[#This Row],[weekday]]&gt;=5,"Yes","No")</f>
        <v>No</v>
      </c>
      <c r="T909" t="b">
        <f>ISBLANK(mergedcleandataset[[#This Row],[atemp]])</f>
        <v>0</v>
      </c>
      <c r="U909" t="str">
        <f t="shared" si="14"/>
        <v>Spring</v>
      </c>
      <c r="V909" t="str">
        <f>TEXT(mergedcleandataset[[#This Row],[date]],"dddd")</f>
        <v>Thursday</v>
      </c>
      <c r="W90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0" spans="1:23" x14ac:dyDescent="0.25">
      <c r="A910">
        <v>918</v>
      </c>
      <c r="B910" s="1">
        <v>40584</v>
      </c>
      <c r="C910">
        <v>1</v>
      </c>
      <c r="D910" t="str">
        <f>TEXT(mergedcleandataset[[#This Row],[dteday]],"yyyy")</f>
        <v>2011</v>
      </c>
      <c r="E910">
        <v>2</v>
      </c>
      <c r="F910">
        <v>18</v>
      </c>
      <c r="G910" t="b">
        <v>0</v>
      </c>
      <c r="H910">
        <v>4</v>
      </c>
      <c r="I910">
        <v>1</v>
      </c>
      <c r="J910">
        <v>0.16</v>
      </c>
      <c r="K910">
        <v>0.18179999999999999</v>
      </c>
      <c r="L910">
        <v>0.28000000000000003</v>
      </c>
      <c r="M910">
        <v>0.1343</v>
      </c>
      <c r="N910">
        <v>3</v>
      </c>
      <c r="O910">
        <v>157</v>
      </c>
      <c r="P910">
        <v>160</v>
      </c>
      <c r="Q910" s="2">
        <f>DATE(mergedcleandataset[[#This Row],[yr]],mergedcleandataset[[#This Row],[mnth]],mergedcleandataset[[#This Row],[day]])</f>
        <v>40584</v>
      </c>
      <c r="R910">
        <f>DAY(mergedcleandataset[[#This Row],[dteday]])</f>
        <v>10</v>
      </c>
      <c r="S910" t="str">
        <f>IF(mergedcleandataset[[#This Row],[weekday]]&gt;=5,"Yes","No")</f>
        <v>No</v>
      </c>
      <c r="T910" t="b">
        <f>ISBLANK(mergedcleandataset[[#This Row],[atemp]])</f>
        <v>0</v>
      </c>
      <c r="U910" t="str">
        <f t="shared" si="14"/>
        <v>Spring</v>
      </c>
      <c r="V910" t="str">
        <f>TEXT(mergedcleandataset[[#This Row],[date]],"dddd")</f>
        <v>Thursday</v>
      </c>
      <c r="W91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1" spans="1:23" x14ac:dyDescent="0.25">
      <c r="A911">
        <v>919</v>
      </c>
      <c r="B911" s="1">
        <v>40584</v>
      </c>
      <c r="C911">
        <v>1</v>
      </c>
      <c r="D911" t="str">
        <f>TEXT(mergedcleandataset[[#This Row],[dteday]],"yyyy")</f>
        <v>2011</v>
      </c>
      <c r="E911">
        <v>2</v>
      </c>
      <c r="F911">
        <v>19</v>
      </c>
      <c r="G911" t="b">
        <v>0</v>
      </c>
      <c r="H911">
        <v>4</v>
      </c>
      <c r="I911">
        <v>1</v>
      </c>
      <c r="J911">
        <v>0.14000000000000001</v>
      </c>
      <c r="K911">
        <v>0.16669999999999999</v>
      </c>
      <c r="L911">
        <v>0.28000000000000003</v>
      </c>
      <c r="M911">
        <v>0.1045</v>
      </c>
      <c r="N911">
        <v>2</v>
      </c>
      <c r="O911">
        <v>110</v>
      </c>
      <c r="P911">
        <v>112</v>
      </c>
      <c r="Q911" s="2">
        <f>DATE(mergedcleandataset[[#This Row],[yr]],mergedcleandataset[[#This Row],[mnth]],mergedcleandataset[[#This Row],[day]])</f>
        <v>40584</v>
      </c>
      <c r="R911">
        <f>DAY(mergedcleandataset[[#This Row],[dteday]])</f>
        <v>10</v>
      </c>
      <c r="S911" t="str">
        <f>IF(mergedcleandataset[[#This Row],[weekday]]&gt;=5,"Yes","No")</f>
        <v>No</v>
      </c>
      <c r="T911" t="b">
        <f>ISBLANK(mergedcleandataset[[#This Row],[atemp]])</f>
        <v>0</v>
      </c>
      <c r="U911" t="str">
        <f t="shared" si="14"/>
        <v>Spring</v>
      </c>
      <c r="V911" t="str">
        <f>TEXT(mergedcleandataset[[#This Row],[date]],"dddd")</f>
        <v>Thursday</v>
      </c>
      <c r="W91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2" spans="1:23" x14ac:dyDescent="0.25">
      <c r="A912">
        <v>920</v>
      </c>
      <c r="B912" s="1">
        <v>40584</v>
      </c>
      <c r="C912">
        <v>1</v>
      </c>
      <c r="D912" t="str">
        <f>TEXT(mergedcleandataset[[#This Row],[dteday]],"yyyy")</f>
        <v>2011</v>
      </c>
      <c r="E912">
        <v>2</v>
      </c>
      <c r="F912">
        <v>20</v>
      </c>
      <c r="G912" t="b">
        <v>0</v>
      </c>
      <c r="H912">
        <v>4</v>
      </c>
      <c r="I912">
        <v>1</v>
      </c>
      <c r="J912">
        <v>0.14000000000000001</v>
      </c>
      <c r="K912">
        <v>0.18179999999999999</v>
      </c>
      <c r="L912">
        <v>0.31</v>
      </c>
      <c r="M912">
        <v>8.9599999999999999E-2</v>
      </c>
      <c r="N912">
        <v>4</v>
      </c>
      <c r="O912">
        <v>93</v>
      </c>
      <c r="P912">
        <v>97</v>
      </c>
      <c r="Q912" s="2">
        <f>DATE(mergedcleandataset[[#This Row],[yr]],mergedcleandataset[[#This Row],[mnth]],mergedcleandataset[[#This Row],[day]])</f>
        <v>40584</v>
      </c>
      <c r="R912">
        <f>DAY(mergedcleandataset[[#This Row],[dteday]])</f>
        <v>10</v>
      </c>
      <c r="S912" t="str">
        <f>IF(mergedcleandataset[[#This Row],[weekday]]&gt;=5,"Yes","No")</f>
        <v>No</v>
      </c>
      <c r="T912" t="b">
        <f>ISBLANK(mergedcleandataset[[#This Row],[atemp]])</f>
        <v>0</v>
      </c>
      <c r="U912" t="str">
        <f t="shared" si="14"/>
        <v>Spring</v>
      </c>
      <c r="V912" t="str">
        <f>TEXT(mergedcleandataset[[#This Row],[date]],"dddd")</f>
        <v>Thursday</v>
      </c>
      <c r="W91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3" spans="1:23" x14ac:dyDescent="0.25">
      <c r="A913">
        <v>921</v>
      </c>
      <c r="B913" s="1">
        <v>40584</v>
      </c>
      <c r="C913">
        <v>1</v>
      </c>
      <c r="D913" t="str">
        <f>TEXT(mergedcleandataset[[#This Row],[dteday]],"yyyy")</f>
        <v>2011</v>
      </c>
      <c r="E913">
        <v>2</v>
      </c>
      <c r="F913">
        <v>21</v>
      </c>
      <c r="G913" t="b">
        <v>0</v>
      </c>
      <c r="H913">
        <v>4</v>
      </c>
      <c r="I913">
        <v>1</v>
      </c>
      <c r="J913">
        <v>0.14000000000000001</v>
      </c>
      <c r="K913">
        <v>0.21210000000000001</v>
      </c>
      <c r="L913">
        <v>0.39</v>
      </c>
      <c r="M913">
        <v>0</v>
      </c>
      <c r="N913">
        <v>2</v>
      </c>
      <c r="O913">
        <v>70</v>
      </c>
      <c r="P913">
        <v>72</v>
      </c>
      <c r="Q913" s="2">
        <f>DATE(mergedcleandataset[[#This Row],[yr]],mergedcleandataset[[#This Row],[mnth]],mergedcleandataset[[#This Row],[day]])</f>
        <v>40584</v>
      </c>
      <c r="R913">
        <f>DAY(mergedcleandataset[[#This Row],[dteday]])</f>
        <v>10</v>
      </c>
      <c r="S913" t="str">
        <f>IF(mergedcleandataset[[#This Row],[weekday]]&gt;=5,"Yes","No")</f>
        <v>No</v>
      </c>
      <c r="T913" t="b">
        <f>ISBLANK(mergedcleandataset[[#This Row],[atemp]])</f>
        <v>0</v>
      </c>
      <c r="U913" t="str">
        <f t="shared" si="14"/>
        <v>Spring</v>
      </c>
      <c r="V913" t="str">
        <f>TEXT(mergedcleandataset[[#This Row],[date]],"dddd")</f>
        <v>Thursday</v>
      </c>
      <c r="W91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4" spans="1:23" x14ac:dyDescent="0.25">
      <c r="A914">
        <v>922</v>
      </c>
      <c r="B914" s="1">
        <v>40584</v>
      </c>
      <c r="C914">
        <v>1</v>
      </c>
      <c r="D914" t="str">
        <f>TEXT(mergedcleandataset[[#This Row],[dteday]],"yyyy")</f>
        <v>2011</v>
      </c>
      <c r="E914">
        <v>2</v>
      </c>
      <c r="F914">
        <v>22</v>
      </c>
      <c r="G914" t="b">
        <v>0</v>
      </c>
      <c r="H914">
        <v>4</v>
      </c>
      <c r="I914">
        <v>1</v>
      </c>
      <c r="J914">
        <v>0.12</v>
      </c>
      <c r="K914">
        <v>0.19700000000000001</v>
      </c>
      <c r="L914">
        <v>0.39</v>
      </c>
      <c r="M914">
        <v>0</v>
      </c>
      <c r="N914">
        <v>4</v>
      </c>
      <c r="O914">
        <v>47</v>
      </c>
      <c r="P914">
        <v>51</v>
      </c>
      <c r="Q914" s="2">
        <f>DATE(mergedcleandataset[[#This Row],[yr]],mergedcleandataset[[#This Row],[mnth]],mergedcleandataset[[#This Row],[day]])</f>
        <v>40584</v>
      </c>
      <c r="R914">
        <f>DAY(mergedcleandataset[[#This Row],[dteday]])</f>
        <v>10</v>
      </c>
      <c r="S914" t="str">
        <f>IF(mergedcleandataset[[#This Row],[weekday]]&gt;=5,"Yes","No")</f>
        <v>No</v>
      </c>
      <c r="T914" t="b">
        <f>ISBLANK(mergedcleandataset[[#This Row],[atemp]])</f>
        <v>0</v>
      </c>
      <c r="U914" t="str">
        <f t="shared" si="14"/>
        <v>Spring</v>
      </c>
      <c r="V914" t="str">
        <f>TEXT(mergedcleandataset[[#This Row],[date]],"dddd")</f>
        <v>Thursday</v>
      </c>
      <c r="W91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5" spans="1:23" x14ac:dyDescent="0.25">
      <c r="A915">
        <v>923</v>
      </c>
      <c r="B915" s="1">
        <v>40584</v>
      </c>
      <c r="C915">
        <v>1</v>
      </c>
      <c r="D915" t="str">
        <f>TEXT(mergedcleandataset[[#This Row],[dteday]],"yyyy")</f>
        <v>2011</v>
      </c>
      <c r="E915">
        <v>2</v>
      </c>
      <c r="F915">
        <v>23</v>
      </c>
      <c r="G915" t="b">
        <v>0</v>
      </c>
      <c r="H915">
        <v>4</v>
      </c>
      <c r="I915">
        <v>1</v>
      </c>
      <c r="J915">
        <v>0.12</v>
      </c>
      <c r="K915">
        <v>0.1515</v>
      </c>
      <c r="L915">
        <v>0.42</v>
      </c>
      <c r="M915">
        <v>0.1045</v>
      </c>
      <c r="N915">
        <v>1</v>
      </c>
      <c r="O915">
        <v>33</v>
      </c>
      <c r="P915">
        <v>34</v>
      </c>
      <c r="Q915" s="2">
        <f>DATE(mergedcleandataset[[#This Row],[yr]],mergedcleandataset[[#This Row],[mnth]],mergedcleandataset[[#This Row],[day]])</f>
        <v>40584</v>
      </c>
      <c r="R915">
        <f>DAY(mergedcleandataset[[#This Row],[dteday]])</f>
        <v>10</v>
      </c>
      <c r="S915" t="str">
        <f>IF(mergedcleandataset[[#This Row],[weekday]]&gt;=5,"Yes","No")</f>
        <v>No</v>
      </c>
      <c r="T915" t="b">
        <f>ISBLANK(mergedcleandataset[[#This Row],[atemp]])</f>
        <v>0</v>
      </c>
      <c r="U915" t="str">
        <f t="shared" si="14"/>
        <v>Spring</v>
      </c>
      <c r="V915" t="str">
        <f>TEXT(mergedcleandataset[[#This Row],[date]],"dddd")</f>
        <v>Thursday</v>
      </c>
      <c r="W91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6" spans="1:23" x14ac:dyDescent="0.25">
      <c r="A916">
        <v>924</v>
      </c>
      <c r="B916" s="1">
        <v>40585</v>
      </c>
      <c r="C916">
        <v>1</v>
      </c>
      <c r="D916" t="str">
        <f>TEXT(mergedcleandataset[[#This Row],[dteday]],"yyyy")</f>
        <v>2011</v>
      </c>
      <c r="E916">
        <v>2</v>
      </c>
      <c r="F916">
        <v>0</v>
      </c>
      <c r="G916" t="b">
        <v>0</v>
      </c>
      <c r="H916">
        <v>5</v>
      </c>
      <c r="I916">
        <v>1</v>
      </c>
      <c r="J916">
        <v>0.1</v>
      </c>
      <c r="K916">
        <v>0.13639999999999999</v>
      </c>
      <c r="L916">
        <v>0.49</v>
      </c>
      <c r="M916">
        <v>0.1045</v>
      </c>
      <c r="N916">
        <v>2</v>
      </c>
      <c r="O916">
        <v>12</v>
      </c>
      <c r="P916">
        <v>14</v>
      </c>
      <c r="Q916" s="2">
        <f>DATE(mergedcleandataset[[#This Row],[yr]],mergedcleandataset[[#This Row],[mnth]],mergedcleandataset[[#This Row],[day]])</f>
        <v>40585</v>
      </c>
      <c r="R916">
        <f>DAY(mergedcleandataset[[#This Row],[dteday]])</f>
        <v>11</v>
      </c>
      <c r="S916" t="str">
        <f>IF(mergedcleandataset[[#This Row],[weekday]]&gt;=5,"Yes","No")</f>
        <v>Yes</v>
      </c>
      <c r="T916" t="b">
        <f>ISBLANK(mergedcleandataset[[#This Row],[atemp]])</f>
        <v>0</v>
      </c>
      <c r="U916" t="str">
        <f t="shared" si="14"/>
        <v>Spring</v>
      </c>
      <c r="V916" t="str">
        <f>TEXT(mergedcleandataset[[#This Row],[date]],"dddd")</f>
        <v>Friday</v>
      </c>
      <c r="W91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7" spans="1:23" x14ac:dyDescent="0.25">
      <c r="A917">
        <v>925</v>
      </c>
      <c r="B917" s="1">
        <v>40585</v>
      </c>
      <c r="C917">
        <v>1</v>
      </c>
      <c r="D917" t="str">
        <f>TEXT(mergedcleandataset[[#This Row],[dteday]],"yyyy")</f>
        <v>2011</v>
      </c>
      <c r="E917">
        <v>2</v>
      </c>
      <c r="F917">
        <v>1</v>
      </c>
      <c r="G917" t="b">
        <v>0</v>
      </c>
      <c r="H917">
        <v>5</v>
      </c>
      <c r="I917">
        <v>1</v>
      </c>
      <c r="J917">
        <v>0.1</v>
      </c>
      <c r="K917">
        <v>0.13639999999999999</v>
      </c>
      <c r="L917">
        <v>0.54</v>
      </c>
      <c r="M917">
        <v>8.9599999999999999E-2</v>
      </c>
      <c r="N917">
        <v>1</v>
      </c>
      <c r="O917">
        <v>6</v>
      </c>
      <c r="P917">
        <v>7</v>
      </c>
      <c r="Q917" s="2">
        <f>DATE(mergedcleandataset[[#This Row],[yr]],mergedcleandataset[[#This Row],[mnth]],mergedcleandataset[[#This Row],[day]])</f>
        <v>40585</v>
      </c>
      <c r="R917">
        <f>DAY(mergedcleandataset[[#This Row],[dteday]])</f>
        <v>11</v>
      </c>
      <c r="S917" t="str">
        <f>IF(mergedcleandataset[[#This Row],[weekday]]&gt;=5,"Yes","No")</f>
        <v>Yes</v>
      </c>
      <c r="T917" t="b">
        <f>ISBLANK(mergedcleandataset[[#This Row],[atemp]])</f>
        <v>0</v>
      </c>
      <c r="U917" t="str">
        <f t="shared" si="14"/>
        <v>Spring</v>
      </c>
      <c r="V917" t="str">
        <f>TEXT(mergedcleandataset[[#This Row],[date]],"dddd")</f>
        <v>Friday</v>
      </c>
      <c r="W91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8" spans="1:23" x14ac:dyDescent="0.25">
      <c r="A918">
        <v>926</v>
      </c>
      <c r="B918" s="1">
        <v>40585</v>
      </c>
      <c r="C918">
        <v>1</v>
      </c>
      <c r="D918" t="str">
        <f>TEXT(mergedcleandataset[[#This Row],[dteday]],"yyyy")</f>
        <v>2011</v>
      </c>
      <c r="E918">
        <v>2</v>
      </c>
      <c r="F918">
        <v>2</v>
      </c>
      <c r="G918" t="b">
        <v>0</v>
      </c>
      <c r="H918">
        <v>5</v>
      </c>
      <c r="I918">
        <v>1</v>
      </c>
      <c r="J918">
        <v>0.1</v>
      </c>
      <c r="K918">
        <v>0.13639999999999999</v>
      </c>
      <c r="L918">
        <v>0.54</v>
      </c>
      <c r="M918">
        <v>8.9599999999999999E-2</v>
      </c>
      <c r="N918">
        <v>0</v>
      </c>
      <c r="O918">
        <v>3</v>
      </c>
      <c r="P918">
        <v>3</v>
      </c>
      <c r="Q918" s="2">
        <f>DATE(mergedcleandataset[[#This Row],[yr]],mergedcleandataset[[#This Row],[mnth]],mergedcleandataset[[#This Row],[day]])</f>
        <v>40585</v>
      </c>
      <c r="R918">
        <f>DAY(mergedcleandataset[[#This Row],[dteday]])</f>
        <v>11</v>
      </c>
      <c r="S918" t="str">
        <f>IF(mergedcleandataset[[#This Row],[weekday]]&gt;=5,"Yes","No")</f>
        <v>Yes</v>
      </c>
      <c r="T918" t="b">
        <f>ISBLANK(mergedcleandataset[[#This Row],[atemp]])</f>
        <v>0</v>
      </c>
      <c r="U918" t="str">
        <f t="shared" si="14"/>
        <v>Spring</v>
      </c>
      <c r="V918" t="str">
        <f>TEXT(mergedcleandataset[[#This Row],[date]],"dddd")</f>
        <v>Friday</v>
      </c>
      <c r="W91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19" spans="1:23" x14ac:dyDescent="0.25">
      <c r="A919">
        <v>927</v>
      </c>
      <c r="B919" s="1">
        <v>40585</v>
      </c>
      <c r="C919">
        <v>1</v>
      </c>
      <c r="D919" t="str">
        <f>TEXT(mergedcleandataset[[#This Row],[dteday]],"yyyy")</f>
        <v>2011</v>
      </c>
      <c r="E919">
        <v>2</v>
      </c>
      <c r="F919">
        <v>5</v>
      </c>
      <c r="G919" t="b">
        <v>0</v>
      </c>
      <c r="H919">
        <v>5</v>
      </c>
      <c r="I919">
        <v>1</v>
      </c>
      <c r="J919">
        <v>0.08</v>
      </c>
      <c r="K919">
        <v>0.1212</v>
      </c>
      <c r="L919">
        <v>0.63</v>
      </c>
      <c r="M919">
        <v>8.9599999999999999E-2</v>
      </c>
      <c r="N919">
        <v>0</v>
      </c>
      <c r="O919">
        <v>4</v>
      </c>
      <c r="P919">
        <v>4</v>
      </c>
      <c r="Q919" s="2">
        <f>DATE(mergedcleandataset[[#This Row],[yr]],mergedcleandataset[[#This Row],[mnth]],mergedcleandataset[[#This Row],[day]])</f>
        <v>40585</v>
      </c>
      <c r="R919">
        <f>DAY(mergedcleandataset[[#This Row],[dteday]])</f>
        <v>11</v>
      </c>
      <c r="S919" t="str">
        <f>IF(mergedcleandataset[[#This Row],[weekday]]&gt;=5,"Yes","No")</f>
        <v>Yes</v>
      </c>
      <c r="T919" t="b">
        <f>ISBLANK(mergedcleandataset[[#This Row],[atemp]])</f>
        <v>0</v>
      </c>
      <c r="U919" t="str">
        <f t="shared" si="14"/>
        <v>Spring</v>
      </c>
      <c r="V919" t="str">
        <f>TEXT(mergedcleandataset[[#This Row],[date]],"dddd")</f>
        <v>Friday</v>
      </c>
      <c r="W91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0" spans="1:23" x14ac:dyDescent="0.25">
      <c r="A920">
        <v>928</v>
      </c>
      <c r="B920" s="1">
        <v>40585</v>
      </c>
      <c r="C920">
        <v>1</v>
      </c>
      <c r="D920" t="str">
        <f>TEXT(mergedcleandataset[[#This Row],[dteday]],"yyyy")</f>
        <v>2011</v>
      </c>
      <c r="E920">
        <v>2</v>
      </c>
      <c r="F920">
        <v>6</v>
      </c>
      <c r="G920" t="b">
        <v>0</v>
      </c>
      <c r="H920">
        <v>5</v>
      </c>
      <c r="I920">
        <v>1</v>
      </c>
      <c r="J920">
        <v>0.1</v>
      </c>
      <c r="K920">
        <v>0.18179999999999999</v>
      </c>
      <c r="L920">
        <v>0.68</v>
      </c>
      <c r="M920">
        <v>0</v>
      </c>
      <c r="N920">
        <v>1</v>
      </c>
      <c r="O920">
        <v>23</v>
      </c>
      <c r="P920">
        <v>24</v>
      </c>
      <c r="Q920" s="2">
        <f>DATE(mergedcleandataset[[#This Row],[yr]],mergedcleandataset[[#This Row],[mnth]],mergedcleandataset[[#This Row],[day]])</f>
        <v>40585</v>
      </c>
      <c r="R920">
        <f>DAY(mergedcleandataset[[#This Row],[dteday]])</f>
        <v>11</v>
      </c>
      <c r="S920" t="str">
        <f>IF(mergedcleandataset[[#This Row],[weekday]]&gt;=5,"Yes","No")</f>
        <v>Yes</v>
      </c>
      <c r="T920" t="b">
        <f>ISBLANK(mergedcleandataset[[#This Row],[atemp]])</f>
        <v>0</v>
      </c>
      <c r="U920" t="str">
        <f t="shared" si="14"/>
        <v>Spring</v>
      </c>
      <c r="V920" t="str">
        <f>TEXT(mergedcleandataset[[#This Row],[date]],"dddd")</f>
        <v>Friday</v>
      </c>
      <c r="W92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1" spans="1:23" x14ac:dyDescent="0.25">
      <c r="A921">
        <v>929</v>
      </c>
      <c r="B921" s="1">
        <v>40585</v>
      </c>
      <c r="C921">
        <v>1</v>
      </c>
      <c r="D921" t="str">
        <f>TEXT(mergedcleandataset[[#This Row],[dteday]],"yyyy")</f>
        <v>2011</v>
      </c>
      <c r="E921">
        <v>2</v>
      </c>
      <c r="F921">
        <v>7</v>
      </c>
      <c r="G921" t="b">
        <v>0</v>
      </c>
      <c r="H921">
        <v>5</v>
      </c>
      <c r="I921">
        <v>1</v>
      </c>
      <c r="J921">
        <v>0.08</v>
      </c>
      <c r="K921">
        <v>0.16669999999999999</v>
      </c>
      <c r="L921">
        <v>0.73</v>
      </c>
      <c r="M921">
        <v>0</v>
      </c>
      <c r="N921">
        <v>1</v>
      </c>
      <c r="O921">
        <v>73</v>
      </c>
      <c r="P921">
        <v>74</v>
      </c>
      <c r="Q921" s="2">
        <f>DATE(mergedcleandataset[[#This Row],[yr]],mergedcleandataset[[#This Row],[mnth]],mergedcleandataset[[#This Row],[day]])</f>
        <v>40585</v>
      </c>
      <c r="R921">
        <f>DAY(mergedcleandataset[[#This Row],[dteday]])</f>
        <v>11</v>
      </c>
      <c r="S921" t="str">
        <f>IF(mergedcleandataset[[#This Row],[weekday]]&gt;=5,"Yes","No")</f>
        <v>Yes</v>
      </c>
      <c r="T921" t="b">
        <f>ISBLANK(mergedcleandataset[[#This Row],[atemp]])</f>
        <v>0</v>
      </c>
      <c r="U921" t="str">
        <f t="shared" si="14"/>
        <v>Spring</v>
      </c>
      <c r="V921" t="str">
        <f>TEXT(mergedcleandataset[[#This Row],[date]],"dddd")</f>
        <v>Friday</v>
      </c>
      <c r="W92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2" spans="1:23" x14ac:dyDescent="0.25">
      <c r="A922">
        <v>930</v>
      </c>
      <c r="B922" s="1">
        <v>40585</v>
      </c>
      <c r="C922">
        <v>1</v>
      </c>
      <c r="D922" t="str">
        <f>TEXT(mergedcleandataset[[#This Row],[dteday]],"yyyy")</f>
        <v>2011</v>
      </c>
      <c r="E922">
        <v>2</v>
      </c>
      <c r="F922">
        <v>8</v>
      </c>
      <c r="G922" t="b">
        <v>0</v>
      </c>
      <c r="H922">
        <v>5</v>
      </c>
      <c r="I922">
        <v>1</v>
      </c>
      <c r="J922">
        <v>0.1</v>
      </c>
      <c r="K922">
        <v>0.1212</v>
      </c>
      <c r="L922">
        <v>0.74</v>
      </c>
      <c r="M922">
        <v>0.16420000000000001</v>
      </c>
      <c r="N922">
        <v>4</v>
      </c>
      <c r="O922">
        <v>212</v>
      </c>
      <c r="P922">
        <v>216</v>
      </c>
      <c r="Q922" s="2">
        <f>DATE(mergedcleandataset[[#This Row],[yr]],mergedcleandataset[[#This Row],[mnth]],mergedcleandataset[[#This Row],[day]])</f>
        <v>40585</v>
      </c>
      <c r="R922">
        <f>DAY(mergedcleandataset[[#This Row],[dteday]])</f>
        <v>11</v>
      </c>
      <c r="S922" t="str">
        <f>IF(mergedcleandataset[[#This Row],[weekday]]&gt;=5,"Yes","No")</f>
        <v>Yes</v>
      </c>
      <c r="T922" t="b">
        <f>ISBLANK(mergedcleandataset[[#This Row],[atemp]])</f>
        <v>0</v>
      </c>
      <c r="U922" t="str">
        <f t="shared" si="14"/>
        <v>Spring</v>
      </c>
      <c r="V922" t="str">
        <f>TEXT(mergedcleandataset[[#This Row],[date]],"dddd")</f>
        <v>Friday</v>
      </c>
      <c r="W92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3" spans="1:23" x14ac:dyDescent="0.25">
      <c r="A923">
        <v>931</v>
      </c>
      <c r="B923" s="1">
        <v>40585</v>
      </c>
      <c r="C923">
        <v>1</v>
      </c>
      <c r="D923" t="str">
        <f>TEXT(mergedcleandataset[[#This Row],[dteday]],"yyyy")</f>
        <v>2011</v>
      </c>
      <c r="E923">
        <v>2</v>
      </c>
      <c r="F923">
        <v>9</v>
      </c>
      <c r="G923" t="b">
        <v>0</v>
      </c>
      <c r="H923">
        <v>5</v>
      </c>
      <c r="I923">
        <v>1</v>
      </c>
      <c r="J923">
        <v>0.12</v>
      </c>
      <c r="K923">
        <v>0.1212</v>
      </c>
      <c r="L923">
        <v>0.74</v>
      </c>
      <c r="M923">
        <v>0.22389999999999999</v>
      </c>
      <c r="N923">
        <v>8</v>
      </c>
      <c r="O923">
        <v>132</v>
      </c>
      <c r="P923">
        <v>140</v>
      </c>
      <c r="Q923" s="2">
        <f>DATE(mergedcleandataset[[#This Row],[yr]],mergedcleandataset[[#This Row],[mnth]],mergedcleandataset[[#This Row],[day]])</f>
        <v>40585</v>
      </c>
      <c r="R923">
        <f>DAY(mergedcleandataset[[#This Row],[dteday]])</f>
        <v>11</v>
      </c>
      <c r="S923" t="str">
        <f>IF(mergedcleandataset[[#This Row],[weekday]]&gt;=5,"Yes","No")</f>
        <v>Yes</v>
      </c>
      <c r="T923" t="b">
        <f>ISBLANK(mergedcleandataset[[#This Row],[atemp]])</f>
        <v>0</v>
      </c>
      <c r="U923" t="str">
        <f t="shared" si="14"/>
        <v>Spring</v>
      </c>
      <c r="V923" t="str">
        <f>TEXT(mergedcleandataset[[#This Row],[date]],"dddd")</f>
        <v>Friday</v>
      </c>
      <c r="W92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4" spans="1:23" x14ac:dyDescent="0.25">
      <c r="A924">
        <v>932</v>
      </c>
      <c r="B924" s="1">
        <v>40585</v>
      </c>
      <c r="C924">
        <v>1</v>
      </c>
      <c r="D924" t="str">
        <f>TEXT(mergedcleandataset[[#This Row],[dteday]],"yyyy")</f>
        <v>2011</v>
      </c>
      <c r="E924">
        <v>2</v>
      </c>
      <c r="F924">
        <v>10</v>
      </c>
      <c r="G924" t="b">
        <v>0</v>
      </c>
      <c r="H924">
        <v>5</v>
      </c>
      <c r="I924">
        <v>1</v>
      </c>
      <c r="J924">
        <v>0.14000000000000001</v>
      </c>
      <c r="K924">
        <v>0.13639999999999999</v>
      </c>
      <c r="L924">
        <v>0.69</v>
      </c>
      <c r="M924">
        <v>0.19400000000000001</v>
      </c>
      <c r="N924">
        <v>5</v>
      </c>
      <c r="O924">
        <v>39</v>
      </c>
      <c r="P924">
        <v>44</v>
      </c>
      <c r="Q924" s="2">
        <f>DATE(mergedcleandataset[[#This Row],[yr]],mergedcleandataset[[#This Row],[mnth]],mergedcleandataset[[#This Row],[day]])</f>
        <v>40585</v>
      </c>
      <c r="R924">
        <f>DAY(mergedcleandataset[[#This Row],[dteday]])</f>
        <v>11</v>
      </c>
      <c r="S924" t="str">
        <f>IF(mergedcleandataset[[#This Row],[weekday]]&gt;=5,"Yes","No")</f>
        <v>Yes</v>
      </c>
      <c r="T924" t="b">
        <f>ISBLANK(mergedcleandataset[[#This Row],[atemp]])</f>
        <v>0</v>
      </c>
      <c r="U924" t="str">
        <f t="shared" si="14"/>
        <v>Spring</v>
      </c>
      <c r="V924" t="str">
        <f>TEXT(mergedcleandataset[[#This Row],[date]],"dddd")</f>
        <v>Friday</v>
      </c>
      <c r="W92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5" spans="1:23" x14ac:dyDescent="0.25">
      <c r="A925">
        <v>933</v>
      </c>
      <c r="B925" s="1">
        <v>40585</v>
      </c>
      <c r="C925">
        <v>1</v>
      </c>
      <c r="D925" t="str">
        <f>TEXT(mergedcleandataset[[#This Row],[dteday]],"yyyy")</f>
        <v>2011</v>
      </c>
      <c r="E925">
        <v>2</v>
      </c>
      <c r="F925">
        <v>11</v>
      </c>
      <c r="G925" t="b">
        <v>0</v>
      </c>
      <c r="H925">
        <v>5</v>
      </c>
      <c r="I925">
        <v>1</v>
      </c>
      <c r="J925">
        <v>0.22</v>
      </c>
      <c r="K925">
        <v>0.2273</v>
      </c>
      <c r="L925">
        <v>0.47</v>
      </c>
      <c r="M925">
        <v>0.1343</v>
      </c>
      <c r="N925">
        <v>12</v>
      </c>
      <c r="O925">
        <v>52</v>
      </c>
      <c r="P925">
        <v>64</v>
      </c>
      <c r="Q925" s="2">
        <f>DATE(mergedcleandataset[[#This Row],[yr]],mergedcleandataset[[#This Row],[mnth]],mergedcleandataset[[#This Row],[day]])</f>
        <v>40585</v>
      </c>
      <c r="R925">
        <f>DAY(mergedcleandataset[[#This Row],[dteday]])</f>
        <v>11</v>
      </c>
      <c r="S925" t="str">
        <f>IF(mergedcleandataset[[#This Row],[weekday]]&gt;=5,"Yes","No")</f>
        <v>Yes</v>
      </c>
      <c r="T925" t="b">
        <f>ISBLANK(mergedcleandataset[[#This Row],[atemp]])</f>
        <v>0</v>
      </c>
      <c r="U925" t="str">
        <f t="shared" si="14"/>
        <v>Spring</v>
      </c>
      <c r="V925" t="str">
        <f>TEXT(mergedcleandataset[[#This Row],[date]],"dddd")</f>
        <v>Friday</v>
      </c>
      <c r="W92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6" spans="1:23" x14ac:dyDescent="0.25">
      <c r="A926">
        <v>934</v>
      </c>
      <c r="B926" s="1">
        <v>40585</v>
      </c>
      <c r="C926">
        <v>1</v>
      </c>
      <c r="D926" t="str">
        <f>TEXT(mergedcleandataset[[#This Row],[dteday]],"yyyy")</f>
        <v>2011</v>
      </c>
      <c r="E926">
        <v>2</v>
      </c>
      <c r="F926">
        <v>12</v>
      </c>
      <c r="G926" t="b">
        <v>0</v>
      </c>
      <c r="H926">
        <v>5</v>
      </c>
      <c r="I926">
        <v>1</v>
      </c>
      <c r="J926">
        <v>0.22</v>
      </c>
      <c r="K926">
        <v>0.2273</v>
      </c>
      <c r="L926">
        <v>0.47</v>
      </c>
      <c r="M926">
        <v>0.1343</v>
      </c>
      <c r="N926">
        <v>7</v>
      </c>
      <c r="O926">
        <v>64</v>
      </c>
      <c r="P926">
        <v>71</v>
      </c>
      <c r="Q926" s="2">
        <f>DATE(mergedcleandataset[[#This Row],[yr]],mergedcleandataset[[#This Row],[mnth]],mergedcleandataset[[#This Row],[day]])</f>
        <v>40585</v>
      </c>
      <c r="R926">
        <f>DAY(mergedcleandataset[[#This Row],[dteday]])</f>
        <v>11</v>
      </c>
      <c r="S926" t="str">
        <f>IF(mergedcleandataset[[#This Row],[weekday]]&gt;=5,"Yes","No")</f>
        <v>Yes</v>
      </c>
      <c r="T926" t="b">
        <f>ISBLANK(mergedcleandataset[[#This Row],[atemp]])</f>
        <v>0</v>
      </c>
      <c r="U926" t="str">
        <f t="shared" si="14"/>
        <v>Spring</v>
      </c>
      <c r="V926" t="str">
        <f>TEXT(mergedcleandataset[[#This Row],[date]],"dddd")</f>
        <v>Friday</v>
      </c>
      <c r="W92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7" spans="1:23" x14ac:dyDescent="0.25">
      <c r="A927">
        <v>935</v>
      </c>
      <c r="B927" s="1">
        <v>40585</v>
      </c>
      <c r="C927">
        <v>1</v>
      </c>
      <c r="D927" t="str">
        <f>TEXT(mergedcleandataset[[#This Row],[dteday]],"yyyy")</f>
        <v>2011</v>
      </c>
      <c r="E927">
        <v>2</v>
      </c>
      <c r="F927">
        <v>13</v>
      </c>
      <c r="G927" t="b">
        <v>0</v>
      </c>
      <c r="H927">
        <v>5</v>
      </c>
      <c r="I927">
        <v>1</v>
      </c>
      <c r="J927">
        <v>0.24</v>
      </c>
      <c r="K927">
        <v>0.2273</v>
      </c>
      <c r="L927">
        <v>0.35</v>
      </c>
      <c r="M927">
        <v>0.19400000000000001</v>
      </c>
      <c r="N927">
        <v>21</v>
      </c>
      <c r="O927">
        <v>89</v>
      </c>
      <c r="P927">
        <v>110</v>
      </c>
      <c r="Q927" s="2">
        <f>DATE(mergedcleandataset[[#This Row],[yr]],mergedcleandataset[[#This Row],[mnth]],mergedcleandataset[[#This Row],[day]])</f>
        <v>40585</v>
      </c>
      <c r="R927">
        <f>DAY(mergedcleandataset[[#This Row],[dteday]])</f>
        <v>11</v>
      </c>
      <c r="S927" t="str">
        <f>IF(mergedcleandataset[[#This Row],[weekday]]&gt;=5,"Yes","No")</f>
        <v>Yes</v>
      </c>
      <c r="T927" t="b">
        <f>ISBLANK(mergedcleandataset[[#This Row],[atemp]])</f>
        <v>0</v>
      </c>
      <c r="U927" t="str">
        <f t="shared" si="14"/>
        <v>Spring</v>
      </c>
      <c r="V927" t="str">
        <f>TEXT(mergedcleandataset[[#This Row],[date]],"dddd")</f>
        <v>Friday</v>
      </c>
      <c r="W92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8" spans="1:23" x14ac:dyDescent="0.25">
      <c r="A928">
        <v>936</v>
      </c>
      <c r="B928" s="1">
        <v>40585</v>
      </c>
      <c r="C928">
        <v>1</v>
      </c>
      <c r="D928" t="str">
        <f>TEXT(mergedcleandataset[[#This Row],[dteday]],"yyyy")</f>
        <v>2011</v>
      </c>
      <c r="E928">
        <v>2</v>
      </c>
      <c r="F928">
        <v>14</v>
      </c>
      <c r="G928" t="b">
        <v>0</v>
      </c>
      <c r="H928">
        <v>5</v>
      </c>
      <c r="I928">
        <v>1</v>
      </c>
      <c r="J928">
        <v>0.3</v>
      </c>
      <c r="K928">
        <v>0.28789999999999999</v>
      </c>
      <c r="L928">
        <v>0.26</v>
      </c>
      <c r="M928">
        <v>0.25369999999999998</v>
      </c>
      <c r="N928">
        <v>17</v>
      </c>
      <c r="O928">
        <v>67</v>
      </c>
      <c r="P928">
        <v>84</v>
      </c>
      <c r="Q928" s="2">
        <f>DATE(mergedcleandataset[[#This Row],[yr]],mergedcleandataset[[#This Row],[mnth]],mergedcleandataset[[#This Row],[day]])</f>
        <v>40585</v>
      </c>
      <c r="R928">
        <f>DAY(mergedcleandataset[[#This Row],[dteday]])</f>
        <v>11</v>
      </c>
      <c r="S928" t="str">
        <f>IF(mergedcleandataset[[#This Row],[weekday]]&gt;=5,"Yes","No")</f>
        <v>Yes</v>
      </c>
      <c r="T928" t="b">
        <f>ISBLANK(mergedcleandataset[[#This Row],[atemp]])</f>
        <v>0</v>
      </c>
      <c r="U928" t="str">
        <f t="shared" si="14"/>
        <v>Spring</v>
      </c>
      <c r="V928" t="str">
        <f>TEXT(mergedcleandataset[[#This Row],[date]],"dddd")</f>
        <v>Friday</v>
      </c>
      <c r="W92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29" spans="1:23" x14ac:dyDescent="0.25">
      <c r="A929">
        <v>937</v>
      </c>
      <c r="B929" s="1">
        <v>40585</v>
      </c>
      <c r="C929">
        <v>1</v>
      </c>
      <c r="D929" t="str">
        <f>TEXT(mergedcleandataset[[#This Row],[dteday]],"yyyy")</f>
        <v>2011</v>
      </c>
      <c r="E929">
        <v>2</v>
      </c>
      <c r="F929">
        <v>15</v>
      </c>
      <c r="G929" t="b">
        <v>0</v>
      </c>
      <c r="H929">
        <v>5</v>
      </c>
      <c r="I929">
        <v>1</v>
      </c>
      <c r="J929">
        <v>0.32</v>
      </c>
      <c r="K929">
        <v>0.31819999999999998</v>
      </c>
      <c r="L929">
        <v>0.21</v>
      </c>
      <c r="M929">
        <v>0.16420000000000001</v>
      </c>
      <c r="N929">
        <v>12</v>
      </c>
      <c r="O929">
        <v>62</v>
      </c>
      <c r="P929">
        <v>74</v>
      </c>
      <c r="Q929" s="2">
        <f>DATE(mergedcleandataset[[#This Row],[yr]],mergedcleandataset[[#This Row],[mnth]],mergedcleandataset[[#This Row],[day]])</f>
        <v>40585</v>
      </c>
      <c r="R929">
        <f>DAY(mergedcleandataset[[#This Row],[dteday]])</f>
        <v>11</v>
      </c>
      <c r="S929" t="str">
        <f>IF(mergedcleandataset[[#This Row],[weekday]]&gt;=5,"Yes","No")</f>
        <v>Yes</v>
      </c>
      <c r="T929" t="b">
        <f>ISBLANK(mergedcleandataset[[#This Row],[atemp]])</f>
        <v>0</v>
      </c>
      <c r="U929" t="str">
        <f t="shared" si="14"/>
        <v>Spring</v>
      </c>
      <c r="V929" t="str">
        <f>TEXT(mergedcleandataset[[#This Row],[date]],"dddd")</f>
        <v>Friday</v>
      </c>
      <c r="W92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0" spans="1:23" x14ac:dyDescent="0.25">
      <c r="A930">
        <v>938</v>
      </c>
      <c r="B930" s="1">
        <v>40585</v>
      </c>
      <c r="C930">
        <v>1</v>
      </c>
      <c r="D930" t="str">
        <f>TEXT(mergedcleandataset[[#This Row],[dteday]],"yyyy")</f>
        <v>2011</v>
      </c>
      <c r="E930">
        <v>2</v>
      </c>
      <c r="F930">
        <v>16</v>
      </c>
      <c r="G930" t="b">
        <v>0</v>
      </c>
      <c r="H930">
        <v>5</v>
      </c>
      <c r="I930">
        <v>1</v>
      </c>
      <c r="J930">
        <v>0.3</v>
      </c>
      <c r="K930">
        <v>0.28789999999999999</v>
      </c>
      <c r="L930">
        <v>0.28000000000000003</v>
      </c>
      <c r="M930">
        <v>0.19400000000000001</v>
      </c>
      <c r="N930">
        <v>14</v>
      </c>
      <c r="O930">
        <v>111</v>
      </c>
      <c r="P930">
        <v>125</v>
      </c>
      <c r="Q930" s="2">
        <f>DATE(mergedcleandataset[[#This Row],[yr]],mergedcleandataset[[#This Row],[mnth]],mergedcleandataset[[#This Row],[day]])</f>
        <v>40585</v>
      </c>
      <c r="R930">
        <f>DAY(mergedcleandataset[[#This Row],[dteday]])</f>
        <v>11</v>
      </c>
      <c r="S930" t="str">
        <f>IF(mergedcleandataset[[#This Row],[weekday]]&gt;=5,"Yes","No")</f>
        <v>Yes</v>
      </c>
      <c r="T930" t="b">
        <f>ISBLANK(mergedcleandataset[[#This Row],[atemp]])</f>
        <v>0</v>
      </c>
      <c r="U930" t="str">
        <f t="shared" si="14"/>
        <v>Spring</v>
      </c>
      <c r="V930" t="str">
        <f>TEXT(mergedcleandataset[[#This Row],[date]],"dddd")</f>
        <v>Friday</v>
      </c>
      <c r="W93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1" spans="1:23" x14ac:dyDescent="0.25">
      <c r="A931">
        <v>939</v>
      </c>
      <c r="B931" s="1">
        <v>40585</v>
      </c>
      <c r="C931">
        <v>1</v>
      </c>
      <c r="D931" t="str">
        <f>TEXT(mergedcleandataset[[#This Row],[dteday]],"yyyy")</f>
        <v>2011</v>
      </c>
      <c r="E931">
        <v>2</v>
      </c>
      <c r="F931">
        <v>17</v>
      </c>
      <c r="G931" t="b">
        <v>0</v>
      </c>
      <c r="H931">
        <v>5</v>
      </c>
      <c r="I931">
        <v>1</v>
      </c>
      <c r="J931">
        <v>0.3</v>
      </c>
      <c r="K931">
        <v>0.33329999999999999</v>
      </c>
      <c r="L931">
        <v>0.24</v>
      </c>
      <c r="M931">
        <v>0</v>
      </c>
      <c r="N931">
        <v>18</v>
      </c>
      <c r="O931">
        <v>193</v>
      </c>
      <c r="P931">
        <v>211</v>
      </c>
      <c r="Q931" s="2">
        <f>DATE(mergedcleandataset[[#This Row],[yr]],mergedcleandataset[[#This Row],[mnth]],mergedcleandataset[[#This Row],[day]])</f>
        <v>40585</v>
      </c>
      <c r="R931">
        <f>DAY(mergedcleandataset[[#This Row],[dteday]])</f>
        <v>11</v>
      </c>
      <c r="S931" t="str">
        <f>IF(mergedcleandataset[[#This Row],[weekday]]&gt;=5,"Yes","No")</f>
        <v>Yes</v>
      </c>
      <c r="T931" t="b">
        <f>ISBLANK(mergedcleandataset[[#This Row],[atemp]])</f>
        <v>0</v>
      </c>
      <c r="U931" t="str">
        <f t="shared" si="14"/>
        <v>Spring</v>
      </c>
      <c r="V931" t="str">
        <f>TEXT(mergedcleandataset[[#This Row],[date]],"dddd")</f>
        <v>Friday</v>
      </c>
      <c r="W93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2" spans="1:23" x14ac:dyDescent="0.25">
      <c r="A932">
        <v>940</v>
      </c>
      <c r="B932" s="1">
        <v>40585</v>
      </c>
      <c r="C932">
        <v>1</v>
      </c>
      <c r="D932" t="str">
        <f>TEXT(mergedcleandataset[[#This Row],[dteday]],"yyyy")</f>
        <v>2011</v>
      </c>
      <c r="E932">
        <v>2</v>
      </c>
      <c r="F932">
        <v>18</v>
      </c>
      <c r="G932" t="b">
        <v>0</v>
      </c>
      <c r="H932">
        <v>5</v>
      </c>
      <c r="I932">
        <v>1</v>
      </c>
      <c r="J932">
        <v>0.28000000000000003</v>
      </c>
      <c r="K932">
        <v>0.31819999999999998</v>
      </c>
      <c r="L932">
        <v>0.28000000000000003</v>
      </c>
      <c r="M932">
        <v>0</v>
      </c>
      <c r="N932">
        <v>9</v>
      </c>
      <c r="O932">
        <v>165</v>
      </c>
      <c r="P932">
        <v>174</v>
      </c>
      <c r="Q932" s="2">
        <f>DATE(mergedcleandataset[[#This Row],[yr]],mergedcleandataset[[#This Row],[mnth]],mergedcleandataset[[#This Row],[day]])</f>
        <v>40585</v>
      </c>
      <c r="R932">
        <f>DAY(mergedcleandataset[[#This Row],[dteday]])</f>
        <v>11</v>
      </c>
      <c r="S932" t="str">
        <f>IF(mergedcleandataset[[#This Row],[weekday]]&gt;=5,"Yes","No")</f>
        <v>Yes</v>
      </c>
      <c r="T932" t="b">
        <f>ISBLANK(mergedcleandataset[[#This Row],[atemp]])</f>
        <v>0</v>
      </c>
      <c r="U932" t="str">
        <f t="shared" si="14"/>
        <v>Spring</v>
      </c>
      <c r="V932" t="str">
        <f>TEXT(mergedcleandataset[[#This Row],[date]],"dddd")</f>
        <v>Friday</v>
      </c>
      <c r="W93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3" spans="1:23" x14ac:dyDescent="0.25">
      <c r="A933">
        <v>941</v>
      </c>
      <c r="B933" s="1">
        <v>40585</v>
      </c>
      <c r="C933">
        <v>1</v>
      </c>
      <c r="D933" t="str">
        <f>TEXT(mergedcleandataset[[#This Row],[dteday]],"yyyy")</f>
        <v>2011</v>
      </c>
      <c r="E933">
        <v>2</v>
      </c>
      <c r="F933">
        <v>19</v>
      </c>
      <c r="G933" t="b">
        <v>0</v>
      </c>
      <c r="H933">
        <v>5</v>
      </c>
      <c r="I933">
        <v>1</v>
      </c>
      <c r="J933">
        <v>0.26</v>
      </c>
      <c r="K933">
        <v>0.30299999999999999</v>
      </c>
      <c r="L933">
        <v>0.33</v>
      </c>
      <c r="M933">
        <v>0</v>
      </c>
      <c r="N933">
        <v>7</v>
      </c>
      <c r="O933">
        <v>94</v>
      </c>
      <c r="P933">
        <v>101</v>
      </c>
      <c r="Q933" s="2">
        <f>DATE(mergedcleandataset[[#This Row],[yr]],mergedcleandataset[[#This Row],[mnth]],mergedcleandataset[[#This Row],[day]])</f>
        <v>40585</v>
      </c>
      <c r="R933">
        <f>DAY(mergedcleandataset[[#This Row],[dteday]])</f>
        <v>11</v>
      </c>
      <c r="S933" t="str">
        <f>IF(mergedcleandataset[[#This Row],[weekday]]&gt;=5,"Yes","No")</f>
        <v>Yes</v>
      </c>
      <c r="T933" t="b">
        <f>ISBLANK(mergedcleandataset[[#This Row],[atemp]])</f>
        <v>0</v>
      </c>
      <c r="U933" t="str">
        <f t="shared" si="14"/>
        <v>Spring</v>
      </c>
      <c r="V933" t="str">
        <f>TEXT(mergedcleandataset[[#This Row],[date]],"dddd")</f>
        <v>Friday</v>
      </c>
      <c r="W93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4" spans="1:23" x14ac:dyDescent="0.25">
      <c r="A934">
        <v>942</v>
      </c>
      <c r="B934" s="1">
        <v>40585</v>
      </c>
      <c r="C934">
        <v>1</v>
      </c>
      <c r="D934" t="str">
        <f>TEXT(mergedcleandataset[[#This Row],[dteday]],"yyyy")</f>
        <v>2011</v>
      </c>
      <c r="E934">
        <v>2</v>
      </c>
      <c r="F934">
        <v>20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0.55000000000000004</v>
      </c>
      <c r="M934">
        <v>0.1343</v>
      </c>
      <c r="N934">
        <v>2</v>
      </c>
      <c r="O934">
        <v>61</v>
      </c>
      <c r="P934">
        <v>63</v>
      </c>
      <c r="Q934" s="2">
        <f>DATE(mergedcleandataset[[#This Row],[yr]],mergedcleandataset[[#This Row],[mnth]],mergedcleandataset[[#This Row],[day]])</f>
        <v>40585</v>
      </c>
      <c r="R934">
        <f>DAY(mergedcleandataset[[#This Row],[dteday]])</f>
        <v>11</v>
      </c>
      <c r="S934" t="str">
        <f>IF(mergedcleandataset[[#This Row],[weekday]]&gt;=5,"Yes","No")</f>
        <v>Yes</v>
      </c>
      <c r="T934" t="b">
        <f>ISBLANK(mergedcleandataset[[#This Row],[atemp]])</f>
        <v>0</v>
      </c>
      <c r="U934" t="str">
        <f t="shared" si="14"/>
        <v>Spring</v>
      </c>
      <c r="V934" t="str">
        <f>TEXT(mergedcleandataset[[#This Row],[date]],"dddd")</f>
        <v>Friday</v>
      </c>
      <c r="W93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5" spans="1:23" x14ac:dyDescent="0.25">
      <c r="A935">
        <v>943</v>
      </c>
      <c r="B935" s="1">
        <v>40585</v>
      </c>
      <c r="C935">
        <v>1</v>
      </c>
      <c r="D935" t="str">
        <f>TEXT(mergedcleandataset[[#This Row],[dteday]],"yyyy")</f>
        <v>2011</v>
      </c>
      <c r="E935">
        <v>2</v>
      </c>
      <c r="F935">
        <v>21</v>
      </c>
      <c r="G935" t="b">
        <v>0</v>
      </c>
      <c r="H935">
        <v>5</v>
      </c>
      <c r="I935">
        <v>1</v>
      </c>
      <c r="J935">
        <v>0.2</v>
      </c>
      <c r="K935">
        <v>0.21210000000000001</v>
      </c>
      <c r="L935">
        <v>0.59</v>
      </c>
      <c r="M935">
        <v>0.1343</v>
      </c>
      <c r="N935">
        <v>1</v>
      </c>
      <c r="O935">
        <v>46</v>
      </c>
      <c r="P935">
        <v>47</v>
      </c>
      <c r="Q935" s="2">
        <f>DATE(mergedcleandataset[[#This Row],[yr]],mergedcleandataset[[#This Row],[mnth]],mergedcleandataset[[#This Row],[day]])</f>
        <v>40585</v>
      </c>
      <c r="R935">
        <f>DAY(mergedcleandataset[[#This Row],[dteday]])</f>
        <v>11</v>
      </c>
      <c r="S935" t="str">
        <f>IF(mergedcleandataset[[#This Row],[weekday]]&gt;=5,"Yes","No")</f>
        <v>Yes</v>
      </c>
      <c r="T935" t="b">
        <f>ISBLANK(mergedcleandataset[[#This Row],[atemp]])</f>
        <v>0</v>
      </c>
      <c r="U935" t="str">
        <f t="shared" si="14"/>
        <v>Spring</v>
      </c>
      <c r="V935" t="str">
        <f>TEXT(mergedcleandataset[[#This Row],[date]],"dddd")</f>
        <v>Friday</v>
      </c>
      <c r="W93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6" spans="1:23" x14ac:dyDescent="0.25">
      <c r="A936">
        <v>944</v>
      </c>
      <c r="B936" s="1">
        <v>40585</v>
      </c>
      <c r="C936">
        <v>1</v>
      </c>
      <c r="D936" t="str">
        <f>TEXT(mergedcleandataset[[#This Row],[dteday]],"yyyy")</f>
        <v>2011</v>
      </c>
      <c r="E936">
        <v>2</v>
      </c>
      <c r="F936">
        <v>22</v>
      </c>
      <c r="G936" t="b">
        <v>0</v>
      </c>
      <c r="H936">
        <v>5</v>
      </c>
      <c r="I936">
        <v>1</v>
      </c>
      <c r="J936">
        <v>0.2</v>
      </c>
      <c r="K936">
        <v>0.2273</v>
      </c>
      <c r="L936">
        <v>0.64</v>
      </c>
      <c r="M936">
        <v>8.9599999999999999E-2</v>
      </c>
      <c r="N936">
        <v>2</v>
      </c>
      <c r="O936">
        <v>41</v>
      </c>
      <c r="P936">
        <v>43</v>
      </c>
      <c r="Q936" s="2">
        <f>DATE(mergedcleandataset[[#This Row],[yr]],mergedcleandataset[[#This Row],[mnth]],mergedcleandataset[[#This Row],[day]])</f>
        <v>40585</v>
      </c>
      <c r="R936">
        <f>DAY(mergedcleandataset[[#This Row],[dteday]])</f>
        <v>11</v>
      </c>
      <c r="S936" t="str">
        <f>IF(mergedcleandataset[[#This Row],[weekday]]&gt;=5,"Yes","No")</f>
        <v>Yes</v>
      </c>
      <c r="T936" t="b">
        <f>ISBLANK(mergedcleandataset[[#This Row],[atemp]])</f>
        <v>0</v>
      </c>
      <c r="U936" t="str">
        <f t="shared" si="14"/>
        <v>Spring</v>
      </c>
      <c r="V936" t="str">
        <f>TEXT(mergedcleandataset[[#This Row],[date]],"dddd")</f>
        <v>Friday</v>
      </c>
      <c r="W93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7" spans="1:23" x14ac:dyDescent="0.25">
      <c r="A937">
        <v>945</v>
      </c>
      <c r="B937" s="1">
        <v>40585</v>
      </c>
      <c r="C937">
        <v>1</v>
      </c>
      <c r="D937" t="str">
        <f>TEXT(mergedcleandataset[[#This Row],[dteday]],"yyyy")</f>
        <v>2011</v>
      </c>
      <c r="E937">
        <v>2</v>
      </c>
      <c r="F937">
        <v>23</v>
      </c>
      <c r="G937" t="b">
        <v>0</v>
      </c>
      <c r="H937">
        <v>5</v>
      </c>
      <c r="I937">
        <v>1</v>
      </c>
      <c r="J937">
        <v>0.18</v>
      </c>
      <c r="K937">
        <v>0.2424</v>
      </c>
      <c r="L937">
        <v>0.69</v>
      </c>
      <c r="M937">
        <v>0</v>
      </c>
      <c r="N937">
        <v>5</v>
      </c>
      <c r="O937">
        <v>48</v>
      </c>
      <c r="P937">
        <v>53</v>
      </c>
      <c r="Q937" s="2">
        <f>DATE(mergedcleandataset[[#This Row],[yr]],mergedcleandataset[[#This Row],[mnth]],mergedcleandataset[[#This Row],[day]])</f>
        <v>40585</v>
      </c>
      <c r="R937">
        <f>DAY(mergedcleandataset[[#This Row],[dteday]])</f>
        <v>11</v>
      </c>
      <c r="S937" t="str">
        <f>IF(mergedcleandataset[[#This Row],[weekday]]&gt;=5,"Yes","No")</f>
        <v>Yes</v>
      </c>
      <c r="T937" t="b">
        <f>ISBLANK(mergedcleandataset[[#This Row],[atemp]])</f>
        <v>0</v>
      </c>
      <c r="U937" t="str">
        <f t="shared" si="14"/>
        <v>Spring</v>
      </c>
      <c r="V937" t="str">
        <f>TEXT(mergedcleandataset[[#This Row],[date]],"dddd")</f>
        <v>Friday</v>
      </c>
      <c r="W93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8" spans="1:23" x14ac:dyDescent="0.25">
      <c r="A938">
        <v>946</v>
      </c>
      <c r="B938" s="1">
        <v>40586</v>
      </c>
      <c r="C938">
        <v>1</v>
      </c>
      <c r="D938" t="str">
        <f>TEXT(mergedcleandataset[[#This Row],[dteday]],"yyyy")</f>
        <v>2011</v>
      </c>
      <c r="E938">
        <v>2</v>
      </c>
      <c r="F938">
        <v>0</v>
      </c>
      <c r="G938" t="b">
        <v>0</v>
      </c>
      <c r="H938">
        <v>6</v>
      </c>
      <c r="I938">
        <v>1</v>
      </c>
      <c r="J938">
        <v>0.16</v>
      </c>
      <c r="K938">
        <v>0.19700000000000001</v>
      </c>
      <c r="L938">
        <v>0.69</v>
      </c>
      <c r="M938">
        <v>8.9599999999999999E-2</v>
      </c>
      <c r="N938">
        <v>3</v>
      </c>
      <c r="O938">
        <v>27</v>
      </c>
      <c r="P938">
        <v>30</v>
      </c>
      <c r="Q938" s="2">
        <f>DATE(mergedcleandataset[[#This Row],[yr]],mergedcleandataset[[#This Row],[mnth]],mergedcleandataset[[#This Row],[day]])</f>
        <v>40586</v>
      </c>
      <c r="R938">
        <f>DAY(mergedcleandataset[[#This Row],[dteday]])</f>
        <v>12</v>
      </c>
      <c r="S938" t="str">
        <f>IF(mergedcleandataset[[#This Row],[weekday]]&gt;=5,"Yes","No")</f>
        <v>Yes</v>
      </c>
      <c r="T938" t="b">
        <f>ISBLANK(mergedcleandataset[[#This Row],[atemp]])</f>
        <v>0</v>
      </c>
      <c r="U938" t="str">
        <f t="shared" si="14"/>
        <v>Spring</v>
      </c>
      <c r="V938" t="str">
        <f>TEXT(mergedcleandataset[[#This Row],[date]],"dddd")</f>
        <v>Saturday</v>
      </c>
      <c r="W93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39" spans="1:23" x14ac:dyDescent="0.25">
      <c r="A939">
        <v>947</v>
      </c>
      <c r="B939" s="1">
        <v>40586</v>
      </c>
      <c r="C939">
        <v>1</v>
      </c>
      <c r="D939" t="str">
        <f>TEXT(mergedcleandataset[[#This Row],[dteday]],"yyyy")</f>
        <v>2011</v>
      </c>
      <c r="E939">
        <v>2</v>
      </c>
      <c r="F939">
        <v>1</v>
      </c>
      <c r="G939" t="b">
        <v>0</v>
      </c>
      <c r="H939">
        <v>6</v>
      </c>
      <c r="I939">
        <v>1</v>
      </c>
      <c r="J939">
        <v>0.14000000000000001</v>
      </c>
      <c r="K939">
        <v>0.21210000000000001</v>
      </c>
      <c r="L939">
        <v>0.86</v>
      </c>
      <c r="M939">
        <v>0</v>
      </c>
      <c r="N939">
        <v>2</v>
      </c>
      <c r="O939">
        <v>22</v>
      </c>
      <c r="P939">
        <v>24</v>
      </c>
      <c r="Q939" s="2">
        <f>DATE(mergedcleandataset[[#This Row],[yr]],mergedcleandataset[[#This Row],[mnth]],mergedcleandataset[[#This Row],[day]])</f>
        <v>40586</v>
      </c>
      <c r="R939">
        <f>DAY(mergedcleandataset[[#This Row],[dteday]])</f>
        <v>12</v>
      </c>
      <c r="S939" t="str">
        <f>IF(mergedcleandataset[[#This Row],[weekday]]&gt;=5,"Yes","No")</f>
        <v>Yes</v>
      </c>
      <c r="T939" t="b">
        <f>ISBLANK(mergedcleandataset[[#This Row],[atemp]])</f>
        <v>0</v>
      </c>
      <c r="U939" t="str">
        <f t="shared" si="14"/>
        <v>Spring</v>
      </c>
      <c r="V939" t="str">
        <f>TEXT(mergedcleandataset[[#This Row],[date]],"dddd")</f>
        <v>Saturday</v>
      </c>
      <c r="W93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0" spans="1:23" x14ac:dyDescent="0.25">
      <c r="A940">
        <v>948</v>
      </c>
      <c r="B940" s="1">
        <v>40586</v>
      </c>
      <c r="C940">
        <v>1</v>
      </c>
      <c r="D940" t="str">
        <f>TEXT(mergedcleandataset[[#This Row],[dteday]],"yyyy")</f>
        <v>2011</v>
      </c>
      <c r="E940">
        <v>2</v>
      </c>
      <c r="F940">
        <v>2</v>
      </c>
      <c r="G940" t="b">
        <v>0</v>
      </c>
      <c r="H940">
        <v>6</v>
      </c>
      <c r="I940">
        <v>1</v>
      </c>
      <c r="J940">
        <v>0.14000000000000001</v>
      </c>
      <c r="K940">
        <v>0.21210000000000001</v>
      </c>
      <c r="L940">
        <v>0.8</v>
      </c>
      <c r="M940">
        <v>0</v>
      </c>
      <c r="N940">
        <v>2</v>
      </c>
      <c r="O940">
        <v>13</v>
      </c>
      <c r="P940">
        <v>15</v>
      </c>
      <c r="Q940" s="2">
        <f>DATE(mergedcleandataset[[#This Row],[yr]],mergedcleandataset[[#This Row],[mnth]],mergedcleandataset[[#This Row],[day]])</f>
        <v>40586</v>
      </c>
      <c r="R940">
        <f>DAY(mergedcleandataset[[#This Row],[dteday]])</f>
        <v>12</v>
      </c>
      <c r="S940" t="str">
        <f>IF(mergedcleandataset[[#This Row],[weekday]]&gt;=5,"Yes","No")</f>
        <v>Yes</v>
      </c>
      <c r="T940" t="b">
        <f>ISBLANK(mergedcleandataset[[#This Row],[atemp]])</f>
        <v>0</v>
      </c>
      <c r="U940" t="str">
        <f t="shared" si="14"/>
        <v>Spring</v>
      </c>
      <c r="V940" t="str">
        <f>TEXT(mergedcleandataset[[#This Row],[date]],"dddd")</f>
        <v>Saturday</v>
      </c>
      <c r="W94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1" spans="1:23" x14ac:dyDescent="0.25">
      <c r="A941">
        <v>949</v>
      </c>
      <c r="B941" s="1">
        <v>40586</v>
      </c>
      <c r="C941">
        <v>1</v>
      </c>
      <c r="D941" t="str">
        <f>TEXT(mergedcleandataset[[#This Row],[dteday]],"yyyy")</f>
        <v>2011</v>
      </c>
      <c r="E941">
        <v>2</v>
      </c>
      <c r="F941">
        <v>3</v>
      </c>
      <c r="G941" t="b">
        <v>0</v>
      </c>
      <c r="H941">
        <v>6</v>
      </c>
      <c r="I941">
        <v>1</v>
      </c>
      <c r="J941">
        <v>0.12</v>
      </c>
      <c r="K941">
        <v>0.19700000000000001</v>
      </c>
      <c r="L941">
        <v>0.8</v>
      </c>
      <c r="M941">
        <v>0</v>
      </c>
      <c r="N941">
        <v>3</v>
      </c>
      <c r="O941">
        <v>7</v>
      </c>
      <c r="P941">
        <v>10</v>
      </c>
      <c r="Q941" s="2">
        <f>DATE(mergedcleandataset[[#This Row],[yr]],mergedcleandataset[[#This Row],[mnth]],mergedcleandataset[[#This Row],[day]])</f>
        <v>40586</v>
      </c>
      <c r="R941">
        <f>DAY(mergedcleandataset[[#This Row],[dteday]])</f>
        <v>12</v>
      </c>
      <c r="S941" t="str">
        <f>IF(mergedcleandataset[[#This Row],[weekday]]&gt;=5,"Yes","No")</f>
        <v>Yes</v>
      </c>
      <c r="T941" t="b">
        <f>ISBLANK(mergedcleandataset[[#This Row],[atemp]])</f>
        <v>0</v>
      </c>
      <c r="U941" t="str">
        <f t="shared" si="14"/>
        <v>Spring</v>
      </c>
      <c r="V941" t="str">
        <f>TEXT(mergedcleandataset[[#This Row],[date]],"dddd")</f>
        <v>Saturday</v>
      </c>
      <c r="W94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2" spans="1:23" x14ac:dyDescent="0.25">
      <c r="A942">
        <v>950</v>
      </c>
      <c r="B942" s="1">
        <v>40586</v>
      </c>
      <c r="C942">
        <v>1</v>
      </c>
      <c r="D942" t="str">
        <f>TEXT(mergedcleandataset[[#This Row],[dteday]],"yyyy")</f>
        <v>2011</v>
      </c>
      <c r="E942">
        <v>2</v>
      </c>
      <c r="F942">
        <v>4</v>
      </c>
      <c r="G942" t="b">
        <v>0</v>
      </c>
      <c r="H942">
        <v>6</v>
      </c>
      <c r="I942">
        <v>1</v>
      </c>
      <c r="J942">
        <v>0.12</v>
      </c>
      <c r="K942">
        <v>0.16669999999999999</v>
      </c>
      <c r="L942">
        <v>0.74</v>
      </c>
      <c r="M942">
        <v>8.9599999999999999E-2</v>
      </c>
      <c r="N942">
        <v>0</v>
      </c>
      <c r="O942">
        <v>4</v>
      </c>
      <c r="P942">
        <v>4</v>
      </c>
      <c r="Q942" s="2">
        <f>DATE(mergedcleandataset[[#This Row],[yr]],mergedcleandataset[[#This Row],[mnth]],mergedcleandataset[[#This Row],[day]])</f>
        <v>40586</v>
      </c>
      <c r="R942">
        <f>DAY(mergedcleandataset[[#This Row],[dteday]])</f>
        <v>12</v>
      </c>
      <c r="S942" t="str">
        <f>IF(mergedcleandataset[[#This Row],[weekday]]&gt;=5,"Yes","No")</f>
        <v>Yes</v>
      </c>
      <c r="T942" t="b">
        <f>ISBLANK(mergedcleandataset[[#This Row],[atemp]])</f>
        <v>0</v>
      </c>
      <c r="U942" t="str">
        <f t="shared" si="14"/>
        <v>Spring</v>
      </c>
      <c r="V942" t="str">
        <f>TEXT(mergedcleandataset[[#This Row],[date]],"dddd")</f>
        <v>Saturday</v>
      </c>
      <c r="W94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3" spans="1:23" x14ac:dyDescent="0.25">
      <c r="A943">
        <v>951</v>
      </c>
      <c r="B943" s="1">
        <v>40586</v>
      </c>
      <c r="C943">
        <v>1</v>
      </c>
      <c r="D943" t="str">
        <f>TEXT(mergedcleandataset[[#This Row],[dteday]],"yyyy")</f>
        <v>2011</v>
      </c>
      <c r="E943">
        <v>2</v>
      </c>
      <c r="F943">
        <v>5</v>
      </c>
      <c r="G943" t="b">
        <v>0</v>
      </c>
      <c r="H943">
        <v>6</v>
      </c>
      <c r="I943">
        <v>1</v>
      </c>
      <c r="J943">
        <v>0.12</v>
      </c>
      <c r="K943">
        <v>0.16669999999999999</v>
      </c>
      <c r="L943">
        <v>0.74</v>
      </c>
      <c r="M943">
        <v>8.9599999999999999E-2</v>
      </c>
      <c r="N943">
        <v>0</v>
      </c>
      <c r="O943">
        <v>1</v>
      </c>
      <c r="P943">
        <v>1</v>
      </c>
      <c r="Q943" s="2">
        <f>DATE(mergedcleandataset[[#This Row],[yr]],mergedcleandataset[[#This Row],[mnth]],mergedcleandataset[[#This Row],[day]])</f>
        <v>40586</v>
      </c>
      <c r="R943">
        <f>DAY(mergedcleandataset[[#This Row],[dteday]])</f>
        <v>12</v>
      </c>
      <c r="S943" t="str">
        <f>IF(mergedcleandataset[[#This Row],[weekday]]&gt;=5,"Yes","No")</f>
        <v>Yes</v>
      </c>
      <c r="T943" t="b">
        <f>ISBLANK(mergedcleandataset[[#This Row],[atemp]])</f>
        <v>0</v>
      </c>
      <c r="U943" t="str">
        <f t="shared" si="14"/>
        <v>Spring</v>
      </c>
      <c r="V943" t="str">
        <f>TEXT(mergedcleandataset[[#This Row],[date]],"dddd")</f>
        <v>Saturday</v>
      </c>
      <c r="W94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4" spans="1:23" x14ac:dyDescent="0.25">
      <c r="A944">
        <v>952</v>
      </c>
      <c r="B944" s="1">
        <v>40586</v>
      </c>
      <c r="C944">
        <v>1</v>
      </c>
      <c r="D944" t="str">
        <f>TEXT(mergedcleandataset[[#This Row],[dteday]],"yyyy")</f>
        <v>2011</v>
      </c>
      <c r="E944">
        <v>2</v>
      </c>
      <c r="F944">
        <v>6</v>
      </c>
      <c r="G944" t="b">
        <v>0</v>
      </c>
      <c r="H944">
        <v>6</v>
      </c>
      <c r="I944">
        <v>1</v>
      </c>
      <c r="J944">
        <v>0.12</v>
      </c>
      <c r="K944">
        <v>0.13639999999999999</v>
      </c>
      <c r="L944">
        <v>0.93</v>
      </c>
      <c r="M944">
        <v>0.19400000000000001</v>
      </c>
      <c r="N944">
        <v>1</v>
      </c>
      <c r="O944">
        <v>1</v>
      </c>
      <c r="P944">
        <v>2</v>
      </c>
      <c r="Q944" s="2">
        <f>DATE(mergedcleandataset[[#This Row],[yr]],mergedcleandataset[[#This Row],[mnth]],mergedcleandataset[[#This Row],[day]])</f>
        <v>40586</v>
      </c>
      <c r="R944">
        <f>DAY(mergedcleandataset[[#This Row],[dteday]])</f>
        <v>12</v>
      </c>
      <c r="S944" t="str">
        <f>IF(mergedcleandataset[[#This Row],[weekday]]&gt;=5,"Yes","No")</f>
        <v>Yes</v>
      </c>
      <c r="T944" t="b">
        <f>ISBLANK(mergedcleandataset[[#This Row],[atemp]])</f>
        <v>0</v>
      </c>
      <c r="U944" t="str">
        <f t="shared" si="14"/>
        <v>Spring</v>
      </c>
      <c r="V944" t="str">
        <f>TEXT(mergedcleandataset[[#This Row],[date]],"dddd")</f>
        <v>Saturday</v>
      </c>
      <c r="W94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5" spans="1:23" x14ac:dyDescent="0.25">
      <c r="A945">
        <v>953</v>
      </c>
      <c r="B945" s="1">
        <v>40586</v>
      </c>
      <c r="C945">
        <v>1</v>
      </c>
      <c r="D945" t="str">
        <f>TEXT(mergedcleandataset[[#This Row],[dteday]],"yyyy")</f>
        <v>2011</v>
      </c>
      <c r="E945">
        <v>2</v>
      </c>
      <c r="F945">
        <v>7</v>
      </c>
      <c r="G945" t="b">
        <v>0</v>
      </c>
      <c r="H945">
        <v>6</v>
      </c>
      <c r="I945">
        <v>1</v>
      </c>
      <c r="J945">
        <v>0.12</v>
      </c>
      <c r="K945">
        <v>0.1515</v>
      </c>
      <c r="L945">
        <v>0.8</v>
      </c>
      <c r="M945">
        <v>0.1045</v>
      </c>
      <c r="N945">
        <v>2</v>
      </c>
      <c r="O945">
        <v>9</v>
      </c>
      <c r="P945">
        <v>11</v>
      </c>
      <c r="Q945" s="2">
        <f>DATE(mergedcleandataset[[#This Row],[yr]],mergedcleandataset[[#This Row],[mnth]],mergedcleandataset[[#This Row],[day]])</f>
        <v>40586</v>
      </c>
      <c r="R945">
        <f>DAY(mergedcleandataset[[#This Row],[dteday]])</f>
        <v>12</v>
      </c>
      <c r="S945" t="str">
        <f>IF(mergedcleandataset[[#This Row],[weekday]]&gt;=5,"Yes","No")</f>
        <v>Yes</v>
      </c>
      <c r="T945" t="b">
        <f>ISBLANK(mergedcleandataset[[#This Row],[atemp]])</f>
        <v>0</v>
      </c>
      <c r="U945" t="str">
        <f t="shared" si="14"/>
        <v>Spring</v>
      </c>
      <c r="V945" t="str">
        <f>TEXT(mergedcleandataset[[#This Row],[date]],"dddd")</f>
        <v>Saturday</v>
      </c>
      <c r="W94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6" spans="1:23" x14ac:dyDescent="0.25">
      <c r="A946">
        <v>954</v>
      </c>
      <c r="B946" s="1">
        <v>40586</v>
      </c>
      <c r="C946">
        <v>1</v>
      </c>
      <c r="D946" t="str">
        <f>TEXT(mergedcleandataset[[#This Row],[dteday]],"yyyy")</f>
        <v>2011</v>
      </c>
      <c r="E946">
        <v>2</v>
      </c>
      <c r="F946">
        <v>8</v>
      </c>
      <c r="G946" t="b">
        <v>0</v>
      </c>
      <c r="H946">
        <v>6</v>
      </c>
      <c r="I946">
        <v>1</v>
      </c>
      <c r="J946">
        <v>0.14000000000000001</v>
      </c>
      <c r="K946">
        <v>0.1515</v>
      </c>
      <c r="L946">
        <v>0.86</v>
      </c>
      <c r="M946">
        <v>0.1343</v>
      </c>
      <c r="N946">
        <v>2</v>
      </c>
      <c r="O946">
        <v>28</v>
      </c>
      <c r="P946">
        <v>30</v>
      </c>
      <c r="Q946" s="2">
        <f>DATE(mergedcleandataset[[#This Row],[yr]],mergedcleandataset[[#This Row],[mnth]],mergedcleandataset[[#This Row],[day]])</f>
        <v>40586</v>
      </c>
      <c r="R946">
        <f>DAY(mergedcleandataset[[#This Row],[dteday]])</f>
        <v>12</v>
      </c>
      <c r="S946" t="str">
        <f>IF(mergedcleandataset[[#This Row],[weekday]]&gt;=5,"Yes","No")</f>
        <v>Yes</v>
      </c>
      <c r="T946" t="b">
        <f>ISBLANK(mergedcleandataset[[#This Row],[atemp]])</f>
        <v>0</v>
      </c>
      <c r="U946" t="str">
        <f t="shared" si="14"/>
        <v>Spring</v>
      </c>
      <c r="V946" t="str">
        <f>TEXT(mergedcleandataset[[#This Row],[date]],"dddd")</f>
        <v>Saturday</v>
      </c>
      <c r="W94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7" spans="1:23" x14ac:dyDescent="0.25">
      <c r="A947">
        <v>955</v>
      </c>
      <c r="B947" s="1">
        <v>40586</v>
      </c>
      <c r="C947">
        <v>1</v>
      </c>
      <c r="D947" t="str">
        <f>TEXT(mergedcleandataset[[#This Row],[dteday]],"yyyy")</f>
        <v>2011</v>
      </c>
      <c r="E947">
        <v>2</v>
      </c>
      <c r="F947">
        <v>9</v>
      </c>
      <c r="G947" t="b">
        <v>0</v>
      </c>
      <c r="H947">
        <v>6</v>
      </c>
      <c r="I947">
        <v>1</v>
      </c>
      <c r="J947">
        <v>0.16</v>
      </c>
      <c r="K947">
        <v>0.18179999999999999</v>
      </c>
      <c r="L947">
        <v>0.64</v>
      </c>
      <c r="M947">
        <v>0.1343</v>
      </c>
      <c r="N947">
        <v>5</v>
      </c>
      <c r="O947">
        <v>38</v>
      </c>
      <c r="P947">
        <v>43</v>
      </c>
      <c r="Q947" s="2">
        <f>DATE(mergedcleandataset[[#This Row],[yr]],mergedcleandataset[[#This Row],[mnth]],mergedcleandataset[[#This Row],[day]])</f>
        <v>40586</v>
      </c>
      <c r="R947">
        <f>DAY(mergedcleandataset[[#This Row],[dteday]])</f>
        <v>12</v>
      </c>
      <c r="S947" t="str">
        <f>IF(mergedcleandataset[[#This Row],[weekday]]&gt;=5,"Yes","No")</f>
        <v>Yes</v>
      </c>
      <c r="T947" t="b">
        <f>ISBLANK(mergedcleandataset[[#This Row],[atemp]])</f>
        <v>0</v>
      </c>
      <c r="U947" t="str">
        <f t="shared" si="14"/>
        <v>Spring</v>
      </c>
      <c r="V947" t="str">
        <f>TEXT(mergedcleandataset[[#This Row],[date]],"dddd")</f>
        <v>Saturday</v>
      </c>
      <c r="W94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8" spans="1:23" x14ac:dyDescent="0.25">
      <c r="A948">
        <v>956</v>
      </c>
      <c r="B948" s="1">
        <v>40586</v>
      </c>
      <c r="C948">
        <v>1</v>
      </c>
      <c r="D948" t="str">
        <f>TEXT(mergedcleandataset[[#This Row],[dteday]],"yyyy")</f>
        <v>2011</v>
      </c>
      <c r="E948">
        <v>2</v>
      </c>
      <c r="F948">
        <v>10</v>
      </c>
      <c r="G948" t="b">
        <v>0</v>
      </c>
      <c r="H948">
        <v>6</v>
      </c>
      <c r="I948">
        <v>1</v>
      </c>
      <c r="J948">
        <v>0.22</v>
      </c>
      <c r="K948">
        <v>0.21210000000000001</v>
      </c>
      <c r="L948">
        <v>0.41</v>
      </c>
      <c r="M948">
        <v>0.25369999999999998</v>
      </c>
      <c r="N948">
        <v>13</v>
      </c>
      <c r="O948">
        <v>71</v>
      </c>
      <c r="P948">
        <v>84</v>
      </c>
      <c r="Q948" s="2">
        <f>DATE(mergedcleandataset[[#This Row],[yr]],mergedcleandataset[[#This Row],[mnth]],mergedcleandataset[[#This Row],[day]])</f>
        <v>40586</v>
      </c>
      <c r="R948">
        <f>DAY(mergedcleandataset[[#This Row],[dteday]])</f>
        <v>12</v>
      </c>
      <c r="S948" t="str">
        <f>IF(mergedcleandataset[[#This Row],[weekday]]&gt;=5,"Yes","No")</f>
        <v>Yes</v>
      </c>
      <c r="T948" t="b">
        <f>ISBLANK(mergedcleandataset[[#This Row],[atemp]])</f>
        <v>0</v>
      </c>
      <c r="U948" t="str">
        <f t="shared" si="14"/>
        <v>Spring</v>
      </c>
      <c r="V948" t="str">
        <f>TEXT(mergedcleandataset[[#This Row],[date]],"dddd")</f>
        <v>Saturday</v>
      </c>
      <c r="W94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49" spans="1:23" x14ac:dyDescent="0.25">
      <c r="A949">
        <v>957</v>
      </c>
      <c r="B949" s="1">
        <v>40586</v>
      </c>
      <c r="C949">
        <v>1</v>
      </c>
      <c r="D949" t="str">
        <f>TEXT(mergedcleandataset[[#This Row],[dteday]],"yyyy")</f>
        <v>2011</v>
      </c>
      <c r="E949">
        <v>2</v>
      </c>
      <c r="F949">
        <v>11</v>
      </c>
      <c r="G949" t="b">
        <v>0</v>
      </c>
      <c r="H949">
        <v>6</v>
      </c>
      <c r="I949">
        <v>1</v>
      </c>
      <c r="J949">
        <v>0.3</v>
      </c>
      <c r="K949">
        <v>0.2727</v>
      </c>
      <c r="L949">
        <v>0.28000000000000003</v>
      </c>
      <c r="M949">
        <v>0.32840000000000003</v>
      </c>
      <c r="N949">
        <v>30</v>
      </c>
      <c r="O949">
        <v>84</v>
      </c>
      <c r="P949">
        <v>114</v>
      </c>
      <c r="Q949" s="2">
        <f>DATE(mergedcleandataset[[#This Row],[yr]],mergedcleandataset[[#This Row],[mnth]],mergedcleandataset[[#This Row],[day]])</f>
        <v>40586</v>
      </c>
      <c r="R949">
        <f>DAY(mergedcleandataset[[#This Row],[dteday]])</f>
        <v>12</v>
      </c>
      <c r="S949" t="str">
        <f>IF(mergedcleandataset[[#This Row],[weekday]]&gt;=5,"Yes","No")</f>
        <v>Yes</v>
      </c>
      <c r="T949" t="b">
        <f>ISBLANK(mergedcleandataset[[#This Row],[atemp]])</f>
        <v>0</v>
      </c>
      <c r="U949" t="str">
        <f t="shared" si="14"/>
        <v>Spring</v>
      </c>
      <c r="V949" t="str">
        <f>TEXT(mergedcleandataset[[#This Row],[date]],"dddd")</f>
        <v>Saturday</v>
      </c>
      <c r="W94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0" spans="1:23" x14ac:dyDescent="0.25">
      <c r="A950">
        <v>958</v>
      </c>
      <c r="B950" s="1">
        <v>40586</v>
      </c>
      <c r="C950">
        <v>1</v>
      </c>
      <c r="D950" t="str">
        <f>TEXT(mergedcleandataset[[#This Row],[dteday]],"yyyy")</f>
        <v>2011</v>
      </c>
      <c r="E950">
        <v>2</v>
      </c>
      <c r="F950">
        <v>12</v>
      </c>
      <c r="G950" t="b">
        <v>0</v>
      </c>
      <c r="H950">
        <v>6</v>
      </c>
      <c r="I950">
        <v>1</v>
      </c>
      <c r="J950">
        <v>0.3</v>
      </c>
      <c r="K950">
        <v>0.2727</v>
      </c>
      <c r="L950">
        <v>0.39</v>
      </c>
      <c r="M950">
        <v>0.4627</v>
      </c>
      <c r="N950">
        <v>27</v>
      </c>
      <c r="O950">
        <v>93</v>
      </c>
      <c r="P950">
        <v>120</v>
      </c>
      <c r="Q950" s="2">
        <f>DATE(mergedcleandataset[[#This Row],[yr]],mergedcleandataset[[#This Row],[mnth]],mergedcleandataset[[#This Row],[day]])</f>
        <v>40586</v>
      </c>
      <c r="R950">
        <f>DAY(mergedcleandataset[[#This Row],[dteday]])</f>
        <v>12</v>
      </c>
      <c r="S950" t="str">
        <f>IF(mergedcleandataset[[#This Row],[weekday]]&gt;=5,"Yes","No")</f>
        <v>Yes</v>
      </c>
      <c r="T950" t="b">
        <f>ISBLANK(mergedcleandataset[[#This Row],[atemp]])</f>
        <v>0</v>
      </c>
      <c r="U950" t="str">
        <f t="shared" si="14"/>
        <v>Spring</v>
      </c>
      <c r="V950" t="str">
        <f>TEXT(mergedcleandataset[[#This Row],[date]],"dddd")</f>
        <v>Saturday</v>
      </c>
      <c r="W95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1" spans="1:23" x14ac:dyDescent="0.25">
      <c r="A951">
        <v>959</v>
      </c>
      <c r="B951" s="1">
        <v>40586</v>
      </c>
      <c r="C951">
        <v>1</v>
      </c>
      <c r="D951" t="str">
        <f>TEXT(mergedcleandataset[[#This Row],[dteday]],"yyyy")</f>
        <v>2011</v>
      </c>
      <c r="E951">
        <v>2</v>
      </c>
      <c r="F951">
        <v>13</v>
      </c>
      <c r="G951" t="b">
        <v>0</v>
      </c>
      <c r="H951">
        <v>6</v>
      </c>
      <c r="I951">
        <v>1</v>
      </c>
      <c r="J951">
        <v>0.3</v>
      </c>
      <c r="K951">
        <v>0.2727</v>
      </c>
      <c r="L951">
        <v>0.39</v>
      </c>
      <c r="M951">
        <v>0.41789999999999999</v>
      </c>
      <c r="N951">
        <v>32</v>
      </c>
      <c r="O951">
        <v>103</v>
      </c>
      <c r="P951">
        <v>135</v>
      </c>
      <c r="Q951" s="2">
        <f>DATE(mergedcleandataset[[#This Row],[yr]],mergedcleandataset[[#This Row],[mnth]],mergedcleandataset[[#This Row],[day]])</f>
        <v>40586</v>
      </c>
      <c r="R951">
        <f>DAY(mergedcleandataset[[#This Row],[dteday]])</f>
        <v>12</v>
      </c>
      <c r="S951" t="str">
        <f>IF(mergedcleandataset[[#This Row],[weekday]]&gt;=5,"Yes","No")</f>
        <v>Yes</v>
      </c>
      <c r="T951" t="b">
        <f>ISBLANK(mergedcleandataset[[#This Row],[atemp]])</f>
        <v>0</v>
      </c>
      <c r="U951" t="str">
        <f t="shared" si="14"/>
        <v>Spring</v>
      </c>
      <c r="V951" t="str">
        <f>TEXT(mergedcleandataset[[#This Row],[date]],"dddd")</f>
        <v>Saturday</v>
      </c>
      <c r="W95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2" spans="1:23" x14ac:dyDescent="0.25">
      <c r="A952">
        <v>960</v>
      </c>
      <c r="B952" s="1">
        <v>40586</v>
      </c>
      <c r="C952">
        <v>1</v>
      </c>
      <c r="D952" t="str">
        <f>TEXT(mergedcleandataset[[#This Row],[dteday]],"yyyy")</f>
        <v>2011</v>
      </c>
      <c r="E952">
        <v>2</v>
      </c>
      <c r="F952">
        <v>14</v>
      </c>
      <c r="G952" t="b">
        <v>0</v>
      </c>
      <c r="H952">
        <v>6</v>
      </c>
      <c r="I952">
        <v>1</v>
      </c>
      <c r="J952">
        <v>0.34</v>
      </c>
      <c r="K952">
        <v>0.31819999999999998</v>
      </c>
      <c r="L952">
        <v>0.31</v>
      </c>
      <c r="M952">
        <v>0.28360000000000002</v>
      </c>
      <c r="N952">
        <v>30</v>
      </c>
      <c r="O952">
        <v>90</v>
      </c>
      <c r="P952">
        <v>120</v>
      </c>
      <c r="Q952" s="2">
        <f>DATE(mergedcleandataset[[#This Row],[yr]],mergedcleandataset[[#This Row],[mnth]],mergedcleandataset[[#This Row],[day]])</f>
        <v>40586</v>
      </c>
      <c r="R952">
        <f>DAY(mergedcleandataset[[#This Row],[dteday]])</f>
        <v>12</v>
      </c>
      <c r="S952" t="str">
        <f>IF(mergedcleandataset[[#This Row],[weekday]]&gt;=5,"Yes","No")</f>
        <v>Yes</v>
      </c>
      <c r="T952" t="b">
        <f>ISBLANK(mergedcleandataset[[#This Row],[atemp]])</f>
        <v>0</v>
      </c>
      <c r="U952" t="str">
        <f t="shared" si="14"/>
        <v>Spring</v>
      </c>
      <c r="V952" t="str">
        <f>TEXT(mergedcleandataset[[#This Row],[date]],"dddd")</f>
        <v>Saturday</v>
      </c>
      <c r="W95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3" spans="1:23" x14ac:dyDescent="0.25">
      <c r="A953">
        <v>961</v>
      </c>
      <c r="B953" s="1">
        <v>40586</v>
      </c>
      <c r="C953">
        <v>1</v>
      </c>
      <c r="D953" t="str">
        <f>TEXT(mergedcleandataset[[#This Row],[dteday]],"yyyy")</f>
        <v>2011</v>
      </c>
      <c r="E953">
        <v>2</v>
      </c>
      <c r="F953">
        <v>15</v>
      </c>
      <c r="G953" t="b">
        <v>0</v>
      </c>
      <c r="H953">
        <v>6</v>
      </c>
      <c r="I953">
        <v>1</v>
      </c>
      <c r="J953">
        <v>0.34</v>
      </c>
      <c r="K953">
        <v>0.30299999999999999</v>
      </c>
      <c r="L953">
        <v>0.28999999999999998</v>
      </c>
      <c r="M953">
        <v>0.41789999999999999</v>
      </c>
      <c r="N953">
        <v>47</v>
      </c>
      <c r="O953">
        <v>127</v>
      </c>
      <c r="P953">
        <v>174</v>
      </c>
      <c r="Q953" s="2">
        <f>DATE(mergedcleandataset[[#This Row],[yr]],mergedcleandataset[[#This Row],[mnth]],mergedcleandataset[[#This Row],[day]])</f>
        <v>40586</v>
      </c>
      <c r="R953">
        <f>DAY(mergedcleandataset[[#This Row],[dteday]])</f>
        <v>12</v>
      </c>
      <c r="S953" t="str">
        <f>IF(mergedcleandataset[[#This Row],[weekday]]&gt;=5,"Yes","No")</f>
        <v>Yes</v>
      </c>
      <c r="T953" t="b">
        <f>ISBLANK(mergedcleandataset[[#This Row],[atemp]])</f>
        <v>0</v>
      </c>
      <c r="U953" t="str">
        <f t="shared" si="14"/>
        <v>Spring</v>
      </c>
      <c r="V953" t="str">
        <f>TEXT(mergedcleandataset[[#This Row],[date]],"dddd")</f>
        <v>Saturday</v>
      </c>
      <c r="W95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4" spans="1:23" x14ac:dyDescent="0.25">
      <c r="A954">
        <v>962</v>
      </c>
      <c r="B954" s="1">
        <v>40586</v>
      </c>
      <c r="C954">
        <v>1</v>
      </c>
      <c r="D954" t="str">
        <f>TEXT(mergedcleandataset[[#This Row],[dteday]],"yyyy")</f>
        <v>2011</v>
      </c>
      <c r="E954">
        <v>2</v>
      </c>
      <c r="F954">
        <v>16</v>
      </c>
      <c r="G954" t="b">
        <v>0</v>
      </c>
      <c r="H954">
        <v>6</v>
      </c>
      <c r="I954">
        <v>1</v>
      </c>
      <c r="J954">
        <v>0.34</v>
      </c>
      <c r="K954">
        <v>0.30299999999999999</v>
      </c>
      <c r="L954">
        <v>0.28999999999999998</v>
      </c>
      <c r="M954">
        <v>0.41789999999999999</v>
      </c>
      <c r="N954">
        <v>42</v>
      </c>
      <c r="O954">
        <v>103</v>
      </c>
      <c r="P954">
        <v>145</v>
      </c>
      <c r="Q954" s="2">
        <f>DATE(mergedcleandataset[[#This Row],[yr]],mergedcleandataset[[#This Row],[mnth]],mergedcleandataset[[#This Row],[day]])</f>
        <v>40586</v>
      </c>
      <c r="R954">
        <f>DAY(mergedcleandataset[[#This Row],[dteday]])</f>
        <v>12</v>
      </c>
      <c r="S954" t="str">
        <f>IF(mergedcleandataset[[#This Row],[weekday]]&gt;=5,"Yes","No")</f>
        <v>Yes</v>
      </c>
      <c r="T954" t="b">
        <f>ISBLANK(mergedcleandataset[[#This Row],[atemp]])</f>
        <v>0</v>
      </c>
      <c r="U954" t="str">
        <f t="shared" si="14"/>
        <v>Spring</v>
      </c>
      <c r="V954" t="str">
        <f>TEXT(mergedcleandataset[[#This Row],[date]],"dddd")</f>
        <v>Saturday</v>
      </c>
      <c r="W95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5" spans="1:23" x14ac:dyDescent="0.25">
      <c r="A955">
        <v>963</v>
      </c>
      <c r="B955" s="1">
        <v>40586</v>
      </c>
      <c r="C955">
        <v>1</v>
      </c>
      <c r="D955" t="str">
        <f>TEXT(mergedcleandataset[[#This Row],[dteday]],"yyyy")</f>
        <v>2011</v>
      </c>
      <c r="E955">
        <v>2</v>
      </c>
      <c r="F955">
        <v>17</v>
      </c>
      <c r="G955" t="b">
        <v>0</v>
      </c>
      <c r="H955">
        <v>6</v>
      </c>
      <c r="I955">
        <v>1</v>
      </c>
      <c r="J955">
        <v>0.32</v>
      </c>
      <c r="K955">
        <v>0.28789999999999999</v>
      </c>
      <c r="L955">
        <v>0.31</v>
      </c>
      <c r="M955">
        <v>0.52239999999999998</v>
      </c>
      <c r="N955">
        <v>24</v>
      </c>
      <c r="O955">
        <v>113</v>
      </c>
      <c r="P955">
        <v>137</v>
      </c>
      <c r="Q955" s="2">
        <f>DATE(mergedcleandataset[[#This Row],[yr]],mergedcleandataset[[#This Row],[mnth]],mergedcleandataset[[#This Row],[day]])</f>
        <v>40586</v>
      </c>
      <c r="R955">
        <f>DAY(mergedcleandataset[[#This Row],[dteday]])</f>
        <v>12</v>
      </c>
      <c r="S955" t="str">
        <f>IF(mergedcleandataset[[#This Row],[weekday]]&gt;=5,"Yes","No")</f>
        <v>Yes</v>
      </c>
      <c r="T955" t="b">
        <f>ISBLANK(mergedcleandataset[[#This Row],[atemp]])</f>
        <v>0</v>
      </c>
      <c r="U955" t="str">
        <f t="shared" si="14"/>
        <v>Spring</v>
      </c>
      <c r="V955" t="str">
        <f>TEXT(mergedcleandataset[[#This Row],[date]],"dddd")</f>
        <v>Saturday</v>
      </c>
      <c r="W95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6" spans="1:23" x14ac:dyDescent="0.25">
      <c r="A956">
        <v>964</v>
      </c>
      <c r="B956" s="1">
        <v>40586</v>
      </c>
      <c r="C956">
        <v>1</v>
      </c>
      <c r="D956" t="str">
        <f>TEXT(mergedcleandataset[[#This Row],[dteday]],"yyyy")</f>
        <v>2011</v>
      </c>
      <c r="E956">
        <v>2</v>
      </c>
      <c r="F956">
        <v>18</v>
      </c>
      <c r="G956" t="b">
        <v>0</v>
      </c>
      <c r="H956">
        <v>6</v>
      </c>
      <c r="I956">
        <v>1</v>
      </c>
      <c r="J956">
        <v>0.28000000000000003</v>
      </c>
      <c r="K956">
        <v>0.2576</v>
      </c>
      <c r="L956">
        <v>0.38</v>
      </c>
      <c r="M956">
        <v>0.32840000000000003</v>
      </c>
      <c r="N956">
        <v>4</v>
      </c>
      <c r="O956">
        <v>60</v>
      </c>
      <c r="P956">
        <v>64</v>
      </c>
      <c r="Q956" s="2">
        <f>DATE(mergedcleandataset[[#This Row],[yr]],mergedcleandataset[[#This Row],[mnth]],mergedcleandataset[[#This Row],[day]])</f>
        <v>40586</v>
      </c>
      <c r="R956">
        <f>DAY(mergedcleandataset[[#This Row],[dteday]])</f>
        <v>12</v>
      </c>
      <c r="S956" t="str">
        <f>IF(mergedcleandataset[[#This Row],[weekday]]&gt;=5,"Yes","No")</f>
        <v>Yes</v>
      </c>
      <c r="T956" t="b">
        <f>ISBLANK(mergedcleandataset[[#This Row],[atemp]])</f>
        <v>0</v>
      </c>
      <c r="U956" t="str">
        <f t="shared" si="14"/>
        <v>Spring</v>
      </c>
      <c r="V956" t="str">
        <f>TEXT(mergedcleandataset[[#This Row],[date]],"dddd")</f>
        <v>Saturday</v>
      </c>
      <c r="W95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7" spans="1:23" x14ac:dyDescent="0.25">
      <c r="A957">
        <v>965</v>
      </c>
      <c r="B957" s="1">
        <v>40586</v>
      </c>
      <c r="C957">
        <v>1</v>
      </c>
      <c r="D957" t="str">
        <f>TEXT(mergedcleandataset[[#This Row],[dteday]],"yyyy")</f>
        <v>2011</v>
      </c>
      <c r="E957">
        <v>2</v>
      </c>
      <c r="F957">
        <v>19</v>
      </c>
      <c r="G957" t="b">
        <v>0</v>
      </c>
      <c r="H957">
        <v>6</v>
      </c>
      <c r="I957">
        <v>1</v>
      </c>
      <c r="J957">
        <v>0.28000000000000003</v>
      </c>
      <c r="K957">
        <v>0.2727</v>
      </c>
      <c r="L957">
        <v>0.38</v>
      </c>
      <c r="M957">
        <v>0.16420000000000001</v>
      </c>
      <c r="N957">
        <v>2</v>
      </c>
      <c r="O957">
        <v>39</v>
      </c>
      <c r="P957">
        <v>41</v>
      </c>
      <c r="Q957" s="2">
        <f>DATE(mergedcleandataset[[#This Row],[yr]],mergedcleandataset[[#This Row],[mnth]],mergedcleandataset[[#This Row],[day]])</f>
        <v>40586</v>
      </c>
      <c r="R957">
        <f>DAY(mergedcleandataset[[#This Row],[dteday]])</f>
        <v>12</v>
      </c>
      <c r="S957" t="str">
        <f>IF(mergedcleandataset[[#This Row],[weekday]]&gt;=5,"Yes","No")</f>
        <v>Yes</v>
      </c>
      <c r="T957" t="b">
        <f>ISBLANK(mergedcleandataset[[#This Row],[atemp]])</f>
        <v>0</v>
      </c>
      <c r="U957" t="str">
        <f t="shared" si="14"/>
        <v>Spring</v>
      </c>
      <c r="V957" t="str">
        <f>TEXT(mergedcleandataset[[#This Row],[date]],"dddd")</f>
        <v>Saturday</v>
      </c>
      <c r="W95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8" spans="1:23" x14ac:dyDescent="0.25">
      <c r="A958">
        <v>966</v>
      </c>
      <c r="B958" s="1">
        <v>40586</v>
      </c>
      <c r="C958">
        <v>1</v>
      </c>
      <c r="D958" t="str">
        <f>TEXT(mergedcleandataset[[#This Row],[dteday]],"yyyy")</f>
        <v>2011</v>
      </c>
      <c r="E958">
        <v>2</v>
      </c>
      <c r="F958">
        <v>20</v>
      </c>
      <c r="G958" t="b">
        <v>0</v>
      </c>
      <c r="H958">
        <v>6</v>
      </c>
      <c r="I958">
        <v>1</v>
      </c>
      <c r="J958">
        <v>0.26</v>
      </c>
      <c r="K958">
        <v>0.2576</v>
      </c>
      <c r="L958">
        <v>0.41</v>
      </c>
      <c r="M958">
        <v>0.22389999999999999</v>
      </c>
      <c r="N958">
        <v>1</v>
      </c>
      <c r="O958">
        <v>39</v>
      </c>
      <c r="P958">
        <v>40</v>
      </c>
      <c r="Q958" s="2">
        <f>DATE(mergedcleandataset[[#This Row],[yr]],mergedcleandataset[[#This Row],[mnth]],mergedcleandataset[[#This Row],[day]])</f>
        <v>40586</v>
      </c>
      <c r="R958">
        <f>DAY(mergedcleandataset[[#This Row],[dteday]])</f>
        <v>12</v>
      </c>
      <c r="S958" t="str">
        <f>IF(mergedcleandataset[[#This Row],[weekday]]&gt;=5,"Yes","No")</f>
        <v>Yes</v>
      </c>
      <c r="T958" t="b">
        <f>ISBLANK(mergedcleandataset[[#This Row],[atemp]])</f>
        <v>0</v>
      </c>
      <c r="U958" t="str">
        <f t="shared" si="14"/>
        <v>Spring</v>
      </c>
      <c r="V958" t="str">
        <f>TEXT(mergedcleandataset[[#This Row],[date]],"dddd")</f>
        <v>Saturday</v>
      </c>
      <c r="W95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59" spans="1:23" x14ac:dyDescent="0.25">
      <c r="A959">
        <v>967</v>
      </c>
      <c r="B959" s="1">
        <v>40586</v>
      </c>
      <c r="C959">
        <v>1</v>
      </c>
      <c r="D959" t="str">
        <f>TEXT(mergedcleandataset[[#This Row],[dteday]],"yyyy")</f>
        <v>2011</v>
      </c>
      <c r="E959">
        <v>2</v>
      </c>
      <c r="F959">
        <v>21</v>
      </c>
      <c r="G959" t="b">
        <v>0</v>
      </c>
      <c r="H959">
        <v>6</v>
      </c>
      <c r="I959">
        <v>1</v>
      </c>
      <c r="J959">
        <v>0.26</v>
      </c>
      <c r="K959">
        <v>0.30299999999999999</v>
      </c>
      <c r="L959">
        <v>0.41</v>
      </c>
      <c r="M959">
        <v>0</v>
      </c>
      <c r="N959">
        <v>9</v>
      </c>
      <c r="O959">
        <v>42</v>
      </c>
      <c r="P959">
        <v>51</v>
      </c>
      <c r="Q959" s="2">
        <f>DATE(mergedcleandataset[[#This Row],[yr]],mergedcleandataset[[#This Row],[mnth]],mergedcleandataset[[#This Row],[day]])</f>
        <v>40586</v>
      </c>
      <c r="R959">
        <f>DAY(mergedcleandataset[[#This Row],[dteday]])</f>
        <v>12</v>
      </c>
      <c r="S959" t="str">
        <f>IF(mergedcleandataset[[#This Row],[weekday]]&gt;=5,"Yes","No")</f>
        <v>Yes</v>
      </c>
      <c r="T959" t="b">
        <f>ISBLANK(mergedcleandataset[[#This Row],[atemp]])</f>
        <v>0</v>
      </c>
      <c r="U959" t="str">
        <f t="shared" si="14"/>
        <v>Spring</v>
      </c>
      <c r="V959" t="str">
        <f>TEXT(mergedcleandataset[[#This Row],[date]],"dddd")</f>
        <v>Saturday</v>
      </c>
      <c r="W95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60" spans="1:23" x14ac:dyDescent="0.25">
      <c r="A960">
        <v>968</v>
      </c>
      <c r="B960" s="1">
        <v>40586</v>
      </c>
      <c r="C960">
        <v>1</v>
      </c>
      <c r="D960" t="str">
        <f>TEXT(mergedcleandataset[[#This Row],[dteday]],"yyyy")</f>
        <v>2011</v>
      </c>
      <c r="E960">
        <v>2</v>
      </c>
      <c r="F960">
        <v>22</v>
      </c>
      <c r="G960" t="b">
        <v>0</v>
      </c>
      <c r="H960">
        <v>6</v>
      </c>
      <c r="I960">
        <v>1</v>
      </c>
      <c r="J960">
        <v>0.24</v>
      </c>
      <c r="K960">
        <v>0.2576</v>
      </c>
      <c r="L960">
        <v>0.44</v>
      </c>
      <c r="M960">
        <v>8.9599999999999999E-2</v>
      </c>
      <c r="N960">
        <v>6</v>
      </c>
      <c r="O960">
        <v>39</v>
      </c>
      <c r="P960">
        <v>45</v>
      </c>
      <c r="Q960" s="2">
        <f>DATE(mergedcleandataset[[#This Row],[yr]],mergedcleandataset[[#This Row],[mnth]],mergedcleandataset[[#This Row],[day]])</f>
        <v>40586</v>
      </c>
      <c r="R960">
        <f>DAY(mergedcleandataset[[#This Row],[dteday]])</f>
        <v>12</v>
      </c>
      <c r="S960" t="str">
        <f>IF(mergedcleandataset[[#This Row],[weekday]]&gt;=5,"Yes","No")</f>
        <v>Yes</v>
      </c>
      <c r="T960" t="b">
        <f>ISBLANK(mergedcleandataset[[#This Row],[atemp]])</f>
        <v>0</v>
      </c>
      <c r="U960" t="str">
        <f t="shared" si="14"/>
        <v>Spring</v>
      </c>
      <c r="V960" t="str">
        <f>TEXT(mergedcleandataset[[#This Row],[date]],"dddd")</f>
        <v>Saturday</v>
      </c>
      <c r="W96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61" spans="1:23" x14ac:dyDescent="0.25">
      <c r="A961">
        <v>969</v>
      </c>
      <c r="B961" s="1">
        <v>40586</v>
      </c>
      <c r="C961">
        <v>1</v>
      </c>
      <c r="D961" t="str">
        <f>TEXT(mergedcleandataset[[#This Row],[dteday]],"yyyy")</f>
        <v>2011</v>
      </c>
      <c r="E961">
        <v>2</v>
      </c>
      <c r="F961">
        <v>23</v>
      </c>
      <c r="G961" t="b">
        <v>0</v>
      </c>
      <c r="H961">
        <v>6</v>
      </c>
      <c r="I961">
        <v>1</v>
      </c>
      <c r="J961">
        <v>0.22</v>
      </c>
      <c r="K961">
        <v>0.2273</v>
      </c>
      <c r="L961">
        <v>0.51</v>
      </c>
      <c r="M961">
        <v>0.1343</v>
      </c>
      <c r="N961">
        <v>1</v>
      </c>
      <c r="O961">
        <v>31</v>
      </c>
      <c r="P961">
        <v>32</v>
      </c>
      <c r="Q961" s="2">
        <f>DATE(mergedcleandataset[[#This Row],[yr]],mergedcleandataset[[#This Row],[mnth]],mergedcleandataset[[#This Row],[day]])</f>
        <v>40586</v>
      </c>
      <c r="R961">
        <f>DAY(mergedcleandataset[[#This Row],[dteday]])</f>
        <v>12</v>
      </c>
      <c r="S961" t="str">
        <f>IF(mergedcleandataset[[#This Row],[weekday]]&gt;=5,"Yes","No")</f>
        <v>Yes</v>
      </c>
      <c r="T961" t="b">
        <f>ISBLANK(mergedcleandataset[[#This Row],[atemp]])</f>
        <v>0</v>
      </c>
      <c r="U961" t="str">
        <f t="shared" si="14"/>
        <v>Spring</v>
      </c>
      <c r="V961" t="str">
        <f>TEXT(mergedcleandataset[[#This Row],[date]],"dddd")</f>
        <v>Saturday</v>
      </c>
      <c r="W96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62" spans="1:23" x14ac:dyDescent="0.25">
      <c r="A962">
        <v>970</v>
      </c>
      <c r="B962" s="1">
        <v>40587</v>
      </c>
      <c r="C962">
        <v>1</v>
      </c>
      <c r="D962" t="str">
        <f>TEXT(mergedcleandataset[[#This Row],[dteday]],"yyyy")</f>
        <v>2011</v>
      </c>
      <c r="E962">
        <v>2</v>
      </c>
      <c r="F962">
        <v>0</v>
      </c>
      <c r="G962" t="b">
        <v>0</v>
      </c>
      <c r="H962">
        <v>0</v>
      </c>
      <c r="I962">
        <v>1</v>
      </c>
      <c r="J962">
        <v>0.2</v>
      </c>
      <c r="K962">
        <v>0.2273</v>
      </c>
      <c r="L962">
        <v>0.64</v>
      </c>
      <c r="M962">
        <v>0.1045</v>
      </c>
      <c r="N962">
        <v>5</v>
      </c>
      <c r="O962">
        <v>34</v>
      </c>
      <c r="P962">
        <v>39</v>
      </c>
      <c r="Q962" s="2">
        <f>DATE(mergedcleandataset[[#This Row],[yr]],mergedcleandataset[[#This Row],[mnth]],mergedcleandataset[[#This Row],[day]])</f>
        <v>40587</v>
      </c>
      <c r="R962">
        <f>DAY(mergedcleandataset[[#This Row],[dteday]])</f>
        <v>13</v>
      </c>
      <c r="S962" t="str">
        <f>IF(mergedcleandataset[[#This Row],[weekday]]&gt;=5,"Yes","No")</f>
        <v>No</v>
      </c>
      <c r="T962" t="b">
        <f>ISBLANK(mergedcleandataset[[#This Row],[atemp]])</f>
        <v>0</v>
      </c>
      <c r="U962" t="str">
        <f t="shared" ref="U962:U1001" si="15">IF(C962=1,"Spring",
IF(C962=2,"Summer",
IF(C962=3,"Fall",
IF(C962=4,"Winter","Unknown"))))</f>
        <v>Spring</v>
      </c>
      <c r="V962" t="str">
        <f>TEXT(mergedcleandataset[[#This Row],[date]],"dddd")</f>
        <v>Sunday</v>
      </c>
      <c r="W96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63" spans="1:23" x14ac:dyDescent="0.25">
      <c r="A963">
        <v>971</v>
      </c>
      <c r="B963" s="1">
        <v>40587</v>
      </c>
      <c r="C963">
        <v>1</v>
      </c>
      <c r="D963" t="str">
        <f>TEXT(mergedcleandataset[[#This Row],[dteday]],"yyyy")</f>
        <v>2011</v>
      </c>
      <c r="E963">
        <v>2</v>
      </c>
      <c r="F963">
        <v>1</v>
      </c>
      <c r="G963" t="b">
        <v>0</v>
      </c>
      <c r="H963">
        <v>0</v>
      </c>
      <c r="I963">
        <v>1</v>
      </c>
      <c r="J963">
        <v>0.2</v>
      </c>
      <c r="K963">
        <v>0.2273</v>
      </c>
      <c r="L963">
        <v>0.59</v>
      </c>
      <c r="M963">
        <v>8.9599999999999999E-2</v>
      </c>
      <c r="N963">
        <v>1</v>
      </c>
      <c r="O963">
        <v>23</v>
      </c>
      <c r="P963">
        <v>24</v>
      </c>
      <c r="Q963" s="2">
        <f>DATE(mergedcleandataset[[#This Row],[yr]],mergedcleandataset[[#This Row],[mnth]],mergedcleandataset[[#This Row],[day]])</f>
        <v>40587</v>
      </c>
      <c r="R963">
        <f>DAY(mergedcleandataset[[#This Row],[dteday]])</f>
        <v>13</v>
      </c>
      <c r="S963" t="str">
        <f>IF(mergedcleandataset[[#This Row],[weekday]]&gt;=5,"Yes","No")</f>
        <v>No</v>
      </c>
      <c r="T963" t="b">
        <f>ISBLANK(mergedcleandataset[[#This Row],[atemp]])</f>
        <v>0</v>
      </c>
      <c r="U963" t="str">
        <f t="shared" si="15"/>
        <v>Spring</v>
      </c>
      <c r="V963" t="str">
        <f>TEXT(mergedcleandataset[[#This Row],[date]],"dddd")</f>
        <v>Sunday</v>
      </c>
      <c r="W96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64" spans="1:23" x14ac:dyDescent="0.25">
      <c r="A964">
        <v>972</v>
      </c>
      <c r="B964" s="1">
        <v>40587</v>
      </c>
      <c r="C964">
        <v>1</v>
      </c>
      <c r="D964" t="str">
        <f>TEXT(mergedcleandataset[[#This Row],[dteday]],"yyyy")</f>
        <v>2011</v>
      </c>
      <c r="E964">
        <v>2</v>
      </c>
      <c r="F964">
        <v>2</v>
      </c>
      <c r="G964" t="b">
        <v>0</v>
      </c>
      <c r="H964">
        <v>0</v>
      </c>
      <c r="I964">
        <v>2</v>
      </c>
      <c r="J964">
        <v>0.2</v>
      </c>
      <c r="K964">
        <v>0.2273</v>
      </c>
      <c r="L964">
        <v>0.75</v>
      </c>
      <c r="M964">
        <v>8.9599999999999999E-2</v>
      </c>
      <c r="N964">
        <v>1</v>
      </c>
      <c r="O964">
        <v>19</v>
      </c>
      <c r="P964">
        <v>20</v>
      </c>
      <c r="Q964" s="2">
        <f>DATE(mergedcleandataset[[#This Row],[yr]],mergedcleandataset[[#This Row],[mnth]],mergedcleandataset[[#This Row],[day]])</f>
        <v>40587</v>
      </c>
      <c r="R964">
        <f>DAY(mergedcleandataset[[#This Row],[dteday]])</f>
        <v>13</v>
      </c>
      <c r="S964" t="str">
        <f>IF(mergedcleandataset[[#This Row],[weekday]]&gt;=5,"Yes","No")</f>
        <v>No</v>
      </c>
      <c r="T964" t="b">
        <f>ISBLANK(mergedcleandataset[[#This Row],[atemp]])</f>
        <v>0</v>
      </c>
      <c r="U964" t="str">
        <f t="shared" si="15"/>
        <v>Spring</v>
      </c>
      <c r="V964" t="str">
        <f>TEXT(mergedcleandataset[[#This Row],[date]],"dddd")</f>
        <v>Sunday</v>
      </c>
      <c r="W964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65" spans="1:23" x14ac:dyDescent="0.25">
      <c r="A965">
        <v>973</v>
      </c>
      <c r="B965" s="1">
        <v>40587</v>
      </c>
      <c r="C965">
        <v>1</v>
      </c>
      <c r="D965" t="str">
        <f>TEXT(mergedcleandataset[[#This Row],[dteday]],"yyyy")</f>
        <v>2011</v>
      </c>
      <c r="E965">
        <v>2</v>
      </c>
      <c r="F965">
        <v>3</v>
      </c>
      <c r="G965" t="b">
        <v>0</v>
      </c>
      <c r="H965">
        <v>0</v>
      </c>
      <c r="I965">
        <v>2</v>
      </c>
      <c r="J965">
        <v>0.2</v>
      </c>
      <c r="K965">
        <v>0.2273</v>
      </c>
      <c r="L965">
        <v>0.69</v>
      </c>
      <c r="M965">
        <v>0.1045</v>
      </c>
      <c r="N965">
        <v>4</v>
      </c>
      <c r="O965">
        <v>8</v>
      </c>
      <c r="P965">
        <v>12</v>
      </c>
      <c r="Q965" s="2">
        <f>DATE(mergedcleandataset[[#This Row],[yr]],mergedcleandataset[[#This Row],[mnth]],mergedcleandataset[[#This Row],[day]])</f>
        <v>40587</v>
      </c>
      <c r="R965">
        <f>DAY(mergedcleandataset[[#This Row],[dteday]])</f>
        <v>13</v>
      </c>
      <c r="S965" t="str">
        <f>IF(mergedcleandataset[[#This Row],[weekday]]&gt;=5,"Yes","No")</f>
        <v>No</v>
      </c>
      <c r="T965" t="b">
        <f>ISBLANK(mergedcleandataset[[#This Row],[atemp]])</f>
        <v>0</v>
      </c>
      <c r="U965" t="str">
        <f t="shared" si="15"/>
        <v>Spring</v>
      </c>
      <c r="V965" t="str">
        <f>TEXT(mergedcleandataset[[#This Row],[date]],"dddd")</f>
        <v>Sunday</v>
      </c>
      <c r="W96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66" spans="1:23" x14ac:dyDescent="0.25">
      <c r="A966">
        <v>974</v>
      </c>
      <c r="B966" s="1">
        <v>40587</v>
      </c>
      <c r="C966">
        <v>1</v>
      </c>
      <c r="D966" t="str">
        <f>TEXT(mergedcleandataset[[#This Row],[dteday]],"yyyy")</f>
        <v>2011</v>
      </c>
      <c r="E966">
        <v>2</v>
      </c>
      <c r="F966">
        <v>4</v>
      </c>
      <c r="G966" t="b">
        <v>0</v>
      </c>
      <c r="H966">
        <v>0</v>
      </c>
      <c r="I966">
        <v>2</v>
      </c>
      <c r="J966">
        <v>0.2</v>
      </c>
      <c r="K966">
        <v>0.21210000000000001</v>
      </c>
      <c r="L966">
        <v>0.69</v>
      </c>
      <c r="M966">
        <v>0.16420000000000001</v>
      </c>
      <c r="N966">
        <v>0</v>
      </c>
      <c r="O966">
        <v>2</v>
      </c>
      <c r="P966">
        <v>2</v>
      </c>
      <c r="Q966" s="2">
        <f>DATE(mergedcleandataset[[#This Row],[yr]],mergedcleandataset[[#This Row],[mnth]],mergedcleandataset[[#This Row],[day]])</f>
        <v>40587</v>
      </c>
      <c r="R966">
        <f>DAY(mergedcleandataset[[#This Row],[dteday]])</f>
        <v>13</v>
      </c>
      <c r="S966" t="str">
        <f>IF(mergedcleandataset[[#This Row],[weekday]]&gt;=5,"Yes","No")</f>
        <v>No</v>
      </c>
      <c r="T966" t="b">
        <f>ISBLANK(mergedcleandataset[[#This Row],[atemp]])</f>
        <v>0</v>
      </c>
      <c r="U966" t="str">
        <f t="shared" si="15"/>
        <v>Spring</v>
      </c>
      <c r="V966" t="str">
        <f>TEXT(mergedcleandataset[[#This Row],[date]],"dddd")</f>
        <v>Sunday</v>
      </c>
      <c r="W96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67" spans="1:23" x14ac:dyDescent="0.25">
      <c r="A967">
        <v>975</v>
      </c>
      <c r="B967" s="1">
        <v>40587</v>
      </c>
      <c r="C967">
        <v>1</v>
      </c>
      <c r="D967" t="str">
        <f>TEXT(mergedcleandataset[[#This Row],[dteday]],"yyyy")</f>
        <v>2011</v>
      </c>
      <c r="E967">
        <v>2</v>
      </c>
      <c r="F967">
        <v>6</v>
      </c>
      <c r="G967" t="b">
        <v>0</v>
      </c>
      <c r="H967">
        <v>0</v>
      </c>
      <c r="I967">
        <v>2</v>
      </c>
      <c r="J967">
        <v>0.2</v>
      </c>
      <c r="K967">
        <v>0.21210000000000001</v>
      </c>
      <c r="L967">
        <v>0.69</v>
      </c>
      <c r="M967">
        <v>0.1343</v>
      </c>
      <c r="N967">
        <v>2</v>
      </c>
      <c r="O967">
        <v>3</v>
      </c>
      <c r="P967">
        <v>5</v>
      </c>
      <c r="Q967" s="2">
        <f>DATE(mergedcleandataset[[#This Row],[yr]],mergedcleandataset[[#This Row],[mnth]],mergedcleandataset[[#This Row],[day]])</f>
        <v>40587</v>
      </c>
      <c r="R967">
        <f>DAY(mergedcleandataset[[#This Row],[dteday]])</f>
        <v>13</v>
      </c>
      <c r="S967" t="str">
        <f>IF(mergedcleandataset[[#This Row],[weekday]]&gt;=5,"Yes","No")</f>
        <v>No</v>
      </c>
      <c r="T967" t="b">
        <f>ISBLANK(mergedcleandataset[[#This Row],[atemp]])</f>
        <v>0</v>
      </c>
      <c r="U967" t="str">
        <f t="shared" si="15"/>
        <v>Spring</v>
      </c>
      <c r="V967" t="str">
        <f>TEXT(mergedcleandataset[[#This Row],[date]],"dddd")</f>
        <v>Sunday</v>
      </c>
      <c r="W96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68" spans="1:23" x14ac:dyDescent="0.25">
      <c r="A968">
        <v>976</v>
      </c>
      <c r="B968" s="1">
        <v>40587</v>
      </c>
      <c r="C968">
        <v>1</v>
      </c>
      <c r="D968" t="str">
        <f>TEXT(mergedcleandataset[[#This Row],[dteday]],"yyyy")</f>
        <v>2011</v>
      </c>
      <c r="E968">
        <v>2</v>
      </c>
      <c r="F968">
        <v>7</v>
      </c>
      <c r="G968" t="b">
        <v>0</v>
      </c>
      <c r="H968">
        <v>0</v>
      </c>
      <c r="I968">
        <v>2</v>
      </c>
      <c r="J968">
        <v>0.22</v>
      </c>
      <c r="K968">
        <v>0.2727</v>
      </c>
      <c r="L968">
        <v>0.55000000000000004</v>
      </c>
      <c r="M968">
        <v>0</v>
      </c>
      <c r="N968">
        <v>0</v>
      </c>
      <c r="O968">
        <v>3</v>
      </c>
      <c r="P968">
        <v>3</v>
      </c>
      <c r="Q968" s="2">
        <f>DATE(mergedcleandataset[[#This Row],[yr]],mergedcleandataset[[#This Row],[mnth]],mergedcleandataset[[#This Row],[day]])</f>
        <v>40587</v>
      </c>
      <c r="R968">
        <f>DAY(mergedcleandataset[[#This Row],[dteday]])</f>
        <v>13</v>
      </c>
      <c r="S968" t="str">
        <f>IF(mergedcleandataset[[#This Row],[weekday]]&gt;=5,"Yes","No")</f>
        <v>No</v>
      </c>
      <c r="T968" t="b">
        <f>ISBLANK(mergedcleandataset[[#This Row],[atemp]])</f>
        <v>0</v>
      </c>
      <c r="U968" t="str">
        <f t="shared" si="15"/>
        <v>Spring</v>
      </c>
      <c r="V968" t="str">
        <f>TEXT(mergedcleandataset[[#This Row],[date]],"dddd")</f>
        <v>Sunday</v>
      </c>
      <c r="W96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69" spans="1:23" x14ac:dyDescent="0.25">
      <c r="A969">
        <v>977</v>
      </c>
      <c r="B969" s="1">
        <v>40587</v>
      </c>
      <c r="C969">
        <v>1</v>
      </c>
      <c r="D969" t="str">
        <f>TEXT(mergedcleandataset[[#This Row],[dteday]],"yyyy")</f>
        <v>2011</v>
      </c>
      <c r="E969">
        <v>2</v>
      </c>
      <c r="F969">
        <v>8</v>
      </c>
      <c r="G969" t="b">
        <v>0</v>
      </c>
      <c r="H969">
        <v>0</v>
      </c>
      <c r="I969">
        <v>2</v>
      </c>
      <c r="J969">
        <v>0.22</v>
      </c>
      <c r="K969">
        <v>0.2273</v>
      </c>
      <c r="L969">
        <v>0.64</v>
      </c>
      <c r="M969">
        <v>0.19400000000000001</v>
      </c>
      <c r="N969">
        <v>1</v>
      </c>
      <c r="O969">
        <v>11</v>
      </c>
      <c r="P969">
        <v>12</v>
      </c>
      <c r="Q969" s="2">
        <f>DATE(mergedcleandataset[[#This Row],[yr]],mergedcleandataset[[#This Row],[mnth]],mergedcleandataset[[#This Row],[day]])</f>
        <v>40587</v>
      </c>
      <c r="R969">
        <f>DAY(mergedcleandataset[[#This Row],[dteday]])</f>
        <v>13</v>
      </c>
      <c r="S969" t="str">
        <f>IF(mergedcleandataset[[#This Row],[weekday]]&gt;=5,"Yes","No")</f>
        <v>No</v>
      </c>
      <c r="T969" t="b">
        <f>ISBLANK(mergedcleandataset[[#This Row],[atemp]])</f>
        <v>0</v>
      </c>
      <c r="U969" t="str">
        <f t="shared" si="15"/>
        <v>Spring</v>
      </c>
      <c r="V969" t="str">
        <f>TEXT(mergedcleandataset[[#This Row],[date]],"dddd")</f>
        <v>Sunday</v>
      </c>
      <c r="W969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70" spans="1:23" x14ac:dyDescent="0.25">
      <c r="A970">
        <v>978</v>
      </c>
      <c r="B970" s="1">
        <v>40587</v>
      </c>
      <c r="C970">
        <v>1</v>
      </c>
      <c r="D970" t="str">
        <f>TEXT(mergedcleandataset[[#This Row],[dteday]],"yyyy")</f>
        <v>2011</v>
      </c>
      <c r="E970">
        <v>2</v>
      </c>
      <c r="F970">
        <v>9</v>
      </c>
      <c r="G970" t="b">
        <v>0</v>
      </c>
      <c r="H970">
        <v>0</v>
      </c>
      <c r="I970">
        <v>2</v>
      </c>
      <c r="J970">
        <v>0.24</v>
      </c>
      <c r="K970">
        <v>0.2273</v>
      </c>
      <c r="L970">
        <v>0.6</v>
      </c>
      <c r="M970">
        <v>0.22389999999999999</v>
      </c>
      <c r="N970">
        <v>12</v>
      </c>
      <c r="O970">
        <v>35</v>
      </c>
      <c r="P970">
        <v>47</v>
      </c>
      <c r="Q970" s="2">
        <f>DATE(mergedcleandataset[[#This Row],[yr]],mergedcleandataset[[#This Row],[mnth]],mergedcleandataset[[#This Row],[day]])</f>
        <v>40587</v>
      </c>
      <c r="R970">
        <f>DAY(mergedcleandataset[[#This Row],[dteday]])</f>
        <v>13</v>
      </c>
      <c r="S970" t="str">
        <f>IF(mergedcleandataset[[#This Row],[weekday]]&gt;=5,"Yes","No")</f>
        <v>No</v>
      </c>
      <c r="T970" t="b">
        <f>ISBLANK(mergedcleandataset[[#This Row],[atemp]])</f>
        <v>0</v>
      </c>
      <c r="U970" t="str">
        <f t="shared" si="15"/>
        <v>Spring</v>
      </c>
      <c r="V970" t="str">
        <f>TEXT(mergedcleandataset[[#This Row],[date]],"dddd")</f>
        <v>Sunday</v>
      </c>
      <c r="W970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71" spans="1:23" x14ac:dyDescent="0.25">
      <c r="A971">
        <v>979</v>
      </c>
      <c r="B971" s="1">
        <v>40587</v>
      </c>
      <c r="C971">
        <v>1</v>
      </c>
      <c r="D971" t="str">
        <f>TEXT(mergedcleandataset[[#This Row],[dteday]],"yyyy")</f>
        <v>2011</v>
      </c>
      <c r="E971">
        <v>2</v>
      </c>
      <c r="F971">
        <v>10</v>
      </c>
      <c r="G971" t="b">
        <v>0</v>
      </c>
      <c r="H971">
        <v>0</v>
      </c>
      <c r="I971">
        <v>1</v>
      </c>
      <c r="J971">
        <v>0.3</v>
      </c>
      <c r="K971">
        <v>0.2727</v>
      </c>
      <c r="L971">
        <v>0.45</v>
      </c>
      <c r="M971">
        <v>0.32840000000000003</v>
      </c>
      <c r="N971">
        <v>19</v>
      </c>
      <c r="O971">
        <v>86</v>
      </c>
      <c r="P971">
        <v>105</v>
      </c>
      <c r="Q971" s="2">
        <f>DATE(mergedcleandataset[[#This Row],[yr]],mergedcleandataset[[#This Row],[mnth]],mergedcleandataset[[#This Row],[day]])</f>
        <v>40587</v>
      </c>
      <c r="R971">
        <f>DAY(mergedcleandataset[[#This Row],[dteday]])</f>
        <v>13</v>
      </c>
      <c r="S971" t="str">
        <f>IF(mergedcleandataset[[#This Row],[weekday]]&gt;=5,"Yes","No")</f>
        <v>No</v>
      </c>
      <c r="T971" t="b">
        <f>ISBLANK(mergedcleandataset[[#This Row],[atemp]])</f>
        <v>0</v>
      </c>
      <c r="U971" t="str">
        <f t="shared" si="15"/>
        <v>Spring</v>
      </c>
      <c r="V971" t="str">
        <f>TEXT(mergedcleandataset[[#This Row],[date]],"dddd")</f>
        <v>Sunday</v>
      </c>
      <c r="W97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72" spans="1:23" x14ac:dyDescent="0.25">
      <c r="A972">
        <v>980</v>
      </c>
      <c r="B972" s="1">
        <v>40587</v>
      </c>
      <c r="C972">
        <v>1</v>
      </c>
      <c r="D972" t="str">
        <f>TEXT(mergedcleandataset[[#This Row],[dteday]],"yyyy")</f>
        <v>2011</v>
      </c>
      <c r="E972">
        <v>2</v>
      </c>
      <c r="F972">
        <v>11</v>
      </c>
      <c r="G972" t="b">
        <v>0</v>
      </c>
      <c r="H972">
        <v>0</v>
      </c>
      <c r="I972">
        <v>1</v>
      </c>
      <c r="J972">
        <v>0.32</v>
      </c>
      <c r="K972">
        <v>0.28789999999999999</v>
      </c>
      <c r="L972">
        <v>0.39</v>
      </c>
      <c r="M972">
        <v>0.44779999999999998</v>
      </c>
      <c r="N972">
        <v>26</v>
      </c>
      <c r="O972">
        <v>86</v>
      </c>
      <c r="P972">
        <v>112</v>
      </c>
      <c r="Q972" s="2">
        <f>DATE(mergedcleandataset[[#This Row],[yr]],mergedcleandataset[[#This Row],[mnth]],mergedcleandataset[[#This Row],[day]])</f>
        <v>40587</v>
      </c>
      <c r="R972">
        <f>DAY(mergedcleandataset[[#This Row],[dteday]])</f>
        <v>13</v>
      </c>
      <c r="S972" t="str">
        <f>IF(mergedcleandataset[[#This Row],[weekday]]&gt;=5,"Yes","No")</f>
        <v>No</v>
      </c>
      <c r="T972" t="b">
        <f>ISBLANK(mergedcleandataset[[#This Row],[atemp]])</f>
        <v>0</v>
      </c>
      <c r="U972" t="str">
        <f t="shared" si="15"/>
        <v>Spring</v>
      </c>
      <c r="V972" t="str">
        <f>TEXT(mergedcleandataset[[#This Row],[date]],"dddd")</f>
        <v>Sunday</v>
      </c>
      <c r="W97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73" spans="1:23" x14ac:dyDescent="0.25">
      <c r="A973">
        <v>981</v>
      </c>
      <c r="B973" s="1">
        <v>40587</v>
      </c>
      <c r="C973">
        <v>1</v>
      </c>
      <c r="D973" t="str">
        <f>TEXT(mergedcleandataset[[#This Row],[dteday]],"yyyy")</f>
        <v>2011</v>
      </c>
      <c r="E973">
        <v>2</v>
      </c>
      <c r="F973">
        <v>12</v>
      </c>
      <c r="G973" t="b">
        <v>0</v>
      </c>
      <c r="H973">
        <v>0</v>
      </c>
      <c r="I973">
        <v>1</v>
      </c>
      <c r="J973">
        <v>0.36</v>
      </c>
      <c r="K973">
        <v>0.31819999999999998</v>
      </c>
      <c r="L973">
        <v>0.32</v>
      </c>
      <c r="M973">
        <v>0.4627</v>
      </c>
      <c r="N973">
        <v>58</v>
      </c>
      <c r="O973">
        <v>94</v>
      </c>
      <c r="P973">
        <v>152</v>
      </c>
      <c r="Q973" s="2">
        <f>DATE(mergedcleandataset[[#This Row],[yr]],mergedcleandataset[[#This Row],[mnth]],mergedcleandataset[[#This Row],[day]])</f>
        <v>40587</v>
      </c>
      <c r="R973">
        <f>DAY(mergedcleandataset[[#This Row],[dteday]])</f>
        <v>13</v>
      </c>
      <c r="S973" t="str">
        <f>IF(mergedcleandataset[[#This Row],[weekday]]&gt;=5,"Yes","No")</f>
        <v>No</v>
      </c>
      <c r="T973" t="b">
        <f>ISBLANK(mergedcleandataset[[#This Row],[atemp]])</f>
        <v>0</v>
      </c>
      <c r="U973" t="str">
        <f t="shared" si="15"/>
        <v>Spring</v>
      </c>
      <c r="V973" t="str">
        <f>TEXT(mergedcleandataset[[#This Row],[date]],"dddd")</f>
        <v>Sunday</v>
      </c>
      <c r="W97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74" spans="1:23" x14ac:dyDescent="0.25">
      <c r="A974">
        <v>982</v>
      </c>
      <c r="B974" s="1">
        <v>40587</v>
      </c>
      <c r="C974">
        <v>1</v>
      </c>
      <c r="D974" t="str">
        <f>TEXT(mergedcleandataset[[#This Row],[dteday]],"yyyy")</f>
        <v>2011</v>
      </c>
      <c r="E974">
        <v>2</v>
      </c>
      <c r="F974">
        <v>13</v>
      </c>
      <c r="G974" t="b">
        <v>0</v>
      </c>
      <c r="H974">
        <v>0</v>
      </c>
      <c r="I974">
        <v>1</v>
      </c>
      <c r="J974">
        <v>0.38</v>
      </c>
      <c r="K974">
        <v>0.39389999999999997</v>
      </c>
      <c r="L974">
        <v>0.28999999999999998</v>
      </c>
      <c r="M974">
        <v>0.35820000000000002</v>
      </c>
      <c r="N974">
        <v>62</v>
      </c>
      <c r="O974">
        <v>92</v>
      </c>
      <c r="P974">
        <v>154</v>
      </c>
      <c r="Q974" s="2">
        <f>DATE(mergedcleandataset[[#This Row],[yr]],mergedcleandataset[[#This Row],[mnth]],mergedcleandataset[[#This Row],[day]])</f>
        <v>40587</v>
      </c>
      <c r="R974">
        <f>DAY(mergedcleandataset[[#This Row],[dteday]])</f>
        <v>13</v>
      </c>
      <c r="S974" t="str">
        <f>IF(mergedcleandataset[[#This Row],[weekday]]&gt;=5,"Yes","No")</f>
        <v>No</v>
      </c>
      <c r="T974" t="b">
        <f>ISBLANK(mergedcleandataset[[#This Row],[atemp]])</f>
        <v>0</v>
      </c>
      <c r="U974" t="str">
        <f t="shared" si="15"/>
        <v>Spring</v>
      </c>
      <c r="V974" t="str">
        <f>TEXT(mergedcleandataset[[#This Row],[date]],"dddd")</f>
        <v>Sunday</v>
      </c>
      <c r="W97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75" spans="1:23" x14ac:dyDescent="0.25">
      <c r="A975">
        <v>983</v>
      </c>
      <c r="B975" s="1">
        <v>40587</v>
      </c>
      <c r="C975">
        <v>1</v>
      </c>
      <c r="D975" t="str">
        <f>TEXT(mergedcleandataset[[#This Row],[dteday]],"yyyy")</f>
        <v>2011</v>
      </c>
      <c r="E975">
        <v>2</v>
      </c>
      <c r="F975">
        <v>14</v>
      </c>
      <c r="G975" t="b">
        <v>0</v>
      </c>
      <c r="H975">
        <v>0</v>
      </c>
      <c r="I975">
        <v>2</v>
      </c>
      <c r="J975">
        <v>0.4</v>
      </c>
      <c r="K975">
        <v>0.40910000000000002</v>
      </c>
      <c r="L975">
        <v>0.3</v>
      </c>
      <c r="M975">
        <v>0.41789999999999999</v>
      </c>
      <c r="N975">
        <v>51</v>
      </c>
      <c r="O975">
        <v>110</v>
      </c>
      <c r="P975">
        <v>161</v>
      </c>
      <c r="Q975" s="2">
        <f>DATE(mergedcleandataset[[#This Row],[yr]],mergedcleandataset[[#This Row],[mnth]],mergedcleandataset[[#This Row],[day]])</f>
        <v>40587</v>
      </c>
      <c r="R975">
        <f>DAY(mergedcleandataset[[#This Row],[dteday]])</f>
        <v>13</v>
      </c>
      <c r="S975" t="str">
        <f>IF(mergedcleandataset[[#This Row],[weekday]]&gt;=5,"Yes","No")</f>
        <v>No</v>
      </c>
      <c r="T975" t="b">
        <f>ISBLANK(mergedcleandataset[[#This Row],[atemp]])</f>
        <v>0</v>
      </c>
      <c r="U975" t="str">
        <f t="shared" si="15"/>
        <v>Spring</v>
      </c>
      <c r="V975" t="str">
        <f>TEXT(mergedcleandataset[[#This Row],[date]],"dddd")</f>
        <v>Sunday</v>
      </c>
      <c r="W975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76" spans="1:23" x14ac:dyDescent="0.25">
      <c r="A976">
        <v>984</v>
      </c>
      <c r="B976" s="1">
        <v>40587</v>
      </c>
      <c r="C976">
        <v>1</v>
      </c>
      <c r="D976" t="str">
        <f>TEXT(mergedcleandataset[[#This Row],[dteday]],"yyyy")</f>
        <v>2011</v>
      </c>
      <c r="E976">
        <v>2</v>
      </c>
      <c r="F976">
        <v>15</v>
      </c>
      <c r="G976" t="b">
        <v>0</v>
      </c>
      <c r="H976">
        <v>0</v>
      </c>
      <c r="I976">
        <v>2</v>
      </c>
      <c r="J976">
        <v>0.4</v>
      </c>
      <c r="K976">
        <v>0.40910000000000002</v>
      </c>
      <c r="L976">
        <v>0.3</v>
      </c>
      <c r="M976">
        <v>0.29849999999999999</v>
      </c>
      <c r="N976">
        <v>40</v>
      </c>
      <c r="O976">
        <v>122</v>
      </c>
      <c r="P976">
        <v>162</v>
      </c>
      <c r="Q976" s="2">
        <f>DATE(mergedcleandataset[[#This Row],[yr]],mergedcleandataset[[#This Row],[mnth]],mergedcleandataset[[#This Row],[day]])</f>
        <v>40587</v>
      </c>
      <c r="R976">
        <f>DAY(mergedcleandataset[[#This Row],[dteday]])</f>
        <v>13</v>
      </c>
      <c r="S976" t="str">
        <f>IF(mergedcleandataset[[#This Row],[weekday]]&gt;=5,"Yes","No")</f>
        <v>No</v>
      </c>
      <c r="T976" t="b">
        <f>ISBLANK(mergedcleandataset[[#This Row],[atemp]])</f>
        <v>0</v>
      </c>
      <c r="U976" t="str">
        <f t="shared" si="15"/>
        <v>Spring</v>
      </c>
      <c r="V976" t="str">
        <f>TEXT(mergedcleandataset[[#This Row],[date]],"dddd")</f>
        <v>Sunday</v>
      </c>
      <c r="W97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77" spans="1:23" x14ac:dyDescent="0.25">
      <c r="A977">
        <v>985</v>
      </c>
      <c r="B977" s="1">
        <v>40587</v>
      </c>
      <c r="C977">
        <v>1</v>
      </c>
      <c r="D977" t="str">
        <f>TEXT(mergedcleandataset[[#This Row],[dteday]],"yyyy")</f>
        <v>2011</v>
      </c>
      <c r="E977">
        <v>2</v>
      </c>
      <c r="F977">
        <v>16</v>
      </c>
      <c r="G977" t="b">
        <v>0</v>
      </c>
      <c r="H977">
        <v>0</v>
      </c>
      <c r="I977">
        <v>2</v>
      </c>
      <c r="J977">
        <v>0.42</v>
      </c>
      <c r="K977">
        <v>0.42420000000000002</v>
      </c>
      <c r="L977">
        <v>0.28000000000000003</v>
      </c>
      <c r="M977">
        <v>0.32840000000000003</v>
      </c>
      <c r="N977">
        <v>28</v>
      </c>
      <c r="O977">
        <v>106</v>
      </c>
      <c r="P977">
        <v>134</v>
      </c>
      <c r="Q977" s="2">
        <f>DATE(mergedcleandataset[[#This Row],[yr]],mergedcleandataset[[#This Row],[mnth]],mergedcleandataset[[#This Row],[day]])</f>
        <v>40587</v>
      </c>
      <c r="R977">
        <f>DAY(mergedcleandataset[[#This Row],[dteday]])</f>
        <v>13</v>
      </c>
      <c r="S977" t="str">
        <f>IF(mergedcleandataset[[#This Row],[weekday]]&gt;=5,"Yes","No")</f>
        <v>No</v>
      </c>
      <c r="T977" t="b">
        <f>ISBLANK(mergedcleandataset[[#This Row],[atemp]])</f>
        <v>0</v>
      </c>
      <c r="U977" t="str">
        <f t="shared" si="15"/>
        <v>Spring</v>
      </c>
      <c r="V977" t="str">
        <f>TEXT(mergedcleandataset[[#This Row],[date]],"dddd")</f>
        <v>Sunday</v>
      </c>
      <c r="W97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78" spans="1:23" x14ac:dyDescent="0.25">
      <c r="A978">
        <v>986</v>
      </c>
      <c r="B978" s="1">
        <v>40587</v>
      </c>
      <c r="C978">
        <v>1</v>
      </c>
      <c r="D978" t="str">
        <f>TEXT(mergedcleandataset[[#This Row],[dteday]],"yyyy")</f>
        <v>2011</v>
      </c>
      <c r="E978">
        <v>2</v>
      </c>
      <c r="F978">
        <v>17</v>
      </c>
      <c r="G978" t="b">
        <v>0</v>
      </c>
      <c r="H978">
        <v>0</v>
      </c>
      <c r="I978">
        <v>1</v>
      </c>
      <c r="J978">
        <v>0.42</v>
      </c>
      <c r="K978">
        <v>0.42420000000000002</v>
      </c>
      <c r="L978">
        <v>0.28000000000000003</v>
      </c>
      <c r="M978">
        <v>0.32840000000000003</v>
      </c>
      <c r="N978">
        <v>30</v>
      </c>
      <c r="O978">
        <v>95</v>
      </c>
      <c r="P978">
        <v>125</v>
      </c>
      <c r="Q978" s="2">
        <f>DATE(mergedcleandataset[[#This Row],[yr]],mergedcleandataset[[#This Row],[mnth]],mergedcleandataset[[#This Row],[day]])</f>
        <v>40587</v>
      </c>
      <c r="R978">
        <f>DAY(mergedcleandataset[[#This Row],[dteday]])</f>
        <v>13</v>
      </c>
      <c r="S978" t="str">
        <f>IF(mergedcleandataset[[#This Row],[weekday]]&gt;=5,"Yes","No")</f>
        <v>No</v>
      </c>
      <c r="T978" t="b">
        <f>ISBLANK(mergedcleandataset[[#This Row],[atemp]])</f>
        <v>0</v>
      </c>
      <c r="U978" t="str">
        <f t="shared" si="15"/>
        <v>Spring</v>
      </c>
      <c r="V978" t="str">
        <f>TEXT(mergedcleandataset[[#This Row],[date]],"dddd")</f>
        <v>Sunday</v>
      </c>
      <c r="W97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79" spans="1:23" x14ac:dyDescent="0.25">
      <c r="A979">
        <v>987</v>
      </c>
      <c r="B979" s="1">
        <v>40587</v>
      </c>
      <c r="C979">
        <v>1</v>
      </c>
      <c r="D979" t="str">
        <f>TEXT(mergedcleandataset[[#This Row],[dteday]],"yyyy")</f>
        <v>2011</v>
      </c>
      <c r="E979">
        <v>2</v>
      </c>
      <c r="F979">
        <v>18</v>
      </c>
      <c r="G979" t="b">
        <v>0</v>
      </c>
      <c r="H979">
        <v>0</v>
      </c>
      <c r="I979">
        <v>1</v>
      </c>
      <c r="J979">
        <v>0.4</v>
      </c>
      <c r="K979">
        <v>0.40910000000000002</v>
      </c>
      <c r="L979">
        <v>0.32</v>
      </c>
      <c r="M979">
        <v>0.29849999999999999</v>
      </c>
      <c r="N979">
        <v>17</v>
      </c>
      <c r="O979">
        <v>78</v>
      </c>
      <c r="P979">
        <v>95</v>
      </c>
      <c r="Q979" s="2">
        <f>DATE(mergedcleandataset[[#This Row],[yr]],mergedcleandataset[[#This Row],[mnth]],mergedcleandataset[[#This Row],[day]])</f>
        <v>40587</v>
      </c>
      <c r="R979">
        <f>DAY(mergedcleandataset[[#This Row],[dteday]])</f>
        <v>13</v>
      </c>
      <c r="S979" t="str">
        <f>IF(mergedcleandataset[[#This Row],[weekday]]&gt;=5,"Yes","No")</f>
        <v>No</v>
      </c>
      <c r="T979" t="b">
        <f>ISBLANK(mergedcleandataset[[#This Row],[atemp]])</f>
        <v>0</v>
      </c>
      <c r="U979" t="str">
        <f t="shared" si="15"/>
        <v>Spring</v>
      </c>
      <c r="V979" t="str">
        <f>TEXT(mergedcleandataset[[#This Row],[date]],"dddd")</f>
        <v>Sunday</v>
      </c>
      <c r="W97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0" spans="1:23" x14ac:dyDescent="0.25">
      <c r="A980">
        <v>988</v>
      </c>
      <c r="B980" s="1">
        <v>40587</v>
      </c>
      <c r="C980">
        <v>1</v>
      </c>
      <c r="D980" t="str">
        <f>TEXT(mergedcleandataset[[#This Row],[dteday]],"yyyy")</f>
        <v>2011</v>
      </c>
      <c r="E980">
        <v>2</v>
      </c>
      <c r="F980">
        <v>19</v>
      </c>
      <c r="G980" t="b">
        <v>0</v>
      </c>
      <c r="H980">
        <v>0</v>
      </c>
      <c r="I980">
        <v>1</v>
      </c>
      <c r="J980">
        <v>0.4</v>
      </c>
      <c r="K980">
        <v>0.40910000000000002</v>
      </c>
      <c r="L980">
        <v>0.35</v>
      </c>
      <c r="M980">
        <v>0.28360000000000002</v>
      </c>
      <c r="N980">
        <v>11</v>
      </c>
      <c r="O980">
        <v>50</v>
      </c>
      <c r="P980">
        <v>61</v>
      </c>
      <c r="Q980" s="2">
        <f>DATE(mergedcleandataset[[#This Row],[yr]],mergedcleandataset[[#This Row],[mnth]],mergedcleandataset[[#This Row],[day]])</f>
        <v>40587</v>
      </c>
      <c r="R980">
        <f>DAY(mergedcleandataset[[#This Row],[dteday]])</f>
        <v>13</v>
      </c>
      <c r="S980" t="str">
        <f>IF(mergedcleandataset[[#This Row],[weekday]]&gt;=5,"Yes","No")</f>
        <v>No</v>
      </c>
      <c r="T980" t="b">
        <f>ISBLANK(mergedcleandataset[[#This Row],[atemp]])</f>
        <v>0</v>
      </c>
      <c r="U980" t="str">
        <f t="shared" si="15"/>
        <v>Spring</v>
      </c>
      <c r="V980" t="str">
        <f>TEXT(mergedcleandataset[[#This Row],[date]],"dddd")</f>
        <v>Sunday</v>
      </c>
      <c r="W98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1" spans="1:23" x14ac:dyDescent="0.25">
      <c r="A981">
        <v>989</v>
      </c>
      <c r="B981" s="1">
        <v>40587</v>
      </c>
      <c r="C981">
        <v>1</v>
      </c>
      <c r="D981" t="str">
        <f>TEXT(mergedcleandataset[[#This Row],[dteday]],"yyyy")</f>
        <v>2011</v>
      </c>
      <c r="E981">
        <v>2</v>
      </c>
      <c r="F981">
        <v>20</v>
      </c>
      <c r="G981" t="b">
        <v>0</v>
      </c>
      <c r="H981">
        <v>0</v>
      </c>
      <c r="I981">
        <v>1</v>
      </c>
      <c r="J981">
        <v>0.4</v>
      </c>
      <c r="K981">
        <v>0.40910000000000002</v>
      </c>
      <c r="L981">
        <v>0.35</v>
      </c>
      <c r="M981">
        <v>0.32840000000000003</v>
      </c>
      <c r="N981">
        <v>15</v>
      </c>
      <c r="O981">
        <v>32</v>
      </c>
      <c r="P981">
        <v>47</v>
      </c>
      <c r="Q981" s="2">
        <f>DATE(mergedcleandataset[[#This Row],[yr]],mergedcleandataset[[#This Row],[mnth]],mergedcleandataset[[#This Row],[day]])</f>
        <v>40587</v>
      </c>
      <c r="R981">
        <f>DAY(mergedcleandataset[[#This Row],[dteday]])</f>
        <v>13</v>
      </c>
      <c r="S981" t="str">
        <f>IF(mergedcleandataset[[#This Row],[weekday]]&gt;=5,"Yes","No")</f>
        <v>No</v>
      </c>
      <c r="T981" t="b">
        <f>ISBLANK(mergedcleandataset[[#This Row],[atemp]])</f>
        <v>0</v>
      </c>
      <c r="U981" t="str">
        <f t="shared" si="15"/>
        <v>Spring</v>
      </c>
      <c r="V981" t="str">
        <f>TEXT(mergedcleandataset[[#This Row],[date]],"dddd")</f>
        <v>Sunday</v>
      </c>
      <c r="W98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2" spans="1:23" x14ac:dyDescent="0.25">
      <c r="A982">
        <v>990</v>
      </c>
      <c r="B982" s="1">
        <v>40587</v>
      </c>
      <c r="C982">
        <v>1</v>
      </c>
      <c r="D982" t="str">
        <f>TEXT(mergedcleandataset[[#This Row],[dteday]],"yyyy")</f>
        <v>2011</v>
      </c>
      <c r="E982">
        <v>2</v>
      </c>
      <c r="F982">
        <v>21</v>
      </c>
      <c r="G982" t="b">
        <v>0</v>
      </c>
      <c r="H982">
        <v>0</v>
      </c>
      <c r="I982">
        <v>1</v>
      </c>
      <c r="J982">
        <v>0.4</v>
      </c>
      <c r="K982">
        <v>0.40910000000000002</v>
      </c>
      <c r="L982">
        <v>0.35</v>
      </c>
      <c r="M982">
        <v>0.35820000000000002</v>
      </c>
      <c r="N982">
        <v>6</v>
      </c>
      <c r="O982">
        <v>45</v>
      </c>
      <c r="P982">
        <v>51</v>
      </c>
      <c r="Q982" s="2">
        <f>DATE(mergedcleandataset[[#This Row],[yr]],mergedcleandataset[[#This Row],[mnth]],mergedcleandataset[[#This Row],[day]])</f>
        <v>40587</v>
      </c>
      <c r="R982">
        <f>DAY(mergedcleandataset[[#This Row],[dteday]])</f>
        <v>13</v>
      </c>
      <c r="S982" t="str">
        <f>IF(mergedcleandataset[[#This Row],[weekday]]&gt;=5,"Yes","No")</f>
        <v>No</v>
      </c>
      <c r="T982" t="b">
        <f>ISBLANK(mergedcleandataset[[#This Row],[atemp]])</f>
        <v>0</v>
      </c>
      <c r="U982" t="str">
        <f t="shared" si="15"/>
        <v>Spring</v>
      </c>
      <c r="V982" t="str">
        <f>TEXT(mergedcleandataset[[#This Row],[date]],"dddd")</f>
        <v>Sunday</v>
      </c>
      <c r="W98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3" spans="1:23" x14ac:dyDescent="0.25">
      <c r="A983">
        <v>991</v>
      </c>
      <c r="B983" s="1">
        <v>40587</v>
      </c>
      <c r="C983">
        <v>1</v>
      </c>
      <c r="D983" t="str">
        <f>TEXT(mergedcleandataset[[#This Row],[dteday]],"yyyy")</f>
        <v>2011</v>
      </c>
      <c r="E983">
        <v>2</v>
      </c>
      <c r="F983">
        <v>22</v>
      </c>
      <c r="G983" t="b">
        <v>0</v>
      </c>
      <c r="H983">
        <v>0</v>
      </c>
      <c r="I983">
        <v>1</v>
      </c>
      <c r="J983">
        <v>0.4</v>
      </c>
      <c r="K983">
        <v>0.40910000000000002</v>
      </c>
      <c r="L983">
        <v>0.35</v>
      </c>
      <c r="M983">
        <v>0.29849999999999999</v>
      </c>
      <c r="N983">
        <v>5</v>
      </c>
      <c r="O983">
        <v>31</v>
      </c>
      <c r="P983">
        <v>36</v>
      </c>
      <c r="Q983" s="2">
        <f>DATE(mergedcleandataset[[#This Row],[yr]],mergedcleandataset[[#This Row],[mnth]],mergedcleandataset[[#This Row],[day]])</f>
        <v>40587</v>
      </c>
      <c r="R983">
        <f>DAY(mergedcleandataset[[#This Row],[dteday]])</f>
        <v>13</v>
      </c>
      <c r="S983" t="str">
        <f>IF(mergedcleandataset[[#This Row],[weekday]]&gt;=5,"Yes","No")</f>
        <v>No</v>
      </c>
      <c r="T983" t="b">
        <f>ISBLANK(mergedcleandataset[[#This Row],[atemp]])</f>
        <v>0</v>
      </c>
      <c r="U983" t="str">
        <f t="shared" si="15"/>
        <v>Spring</v>
      </c>
      <c r="V983" t="str">
        <f>TEXT(mergedcleandataset[[#This Row],[date]],"dddd")</f>
        <v>Sunday</v>
      </c>
      <c r="W98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4" spans="1:23" x14ac:dyDescent="0.25">
      <c r="A984">
        <v>992</v>
      </c>
      <c r="B984" s="1">
        <v>40587</v>
      </c>
      <c r="C984">
        <v>1</v>
      </c>
      <c r="D984" t="str">
        <f>TEXT(mergedcleandataset[[#This Row],[dteday]],"yyyy")</f>
        <v>2011</v>
      </c>
      <c r="E984">
        <v>2</v>
      </c>
      <c r="F984">
        <v>23</v>
      </c>
      <c r="G984" t="b">
        <v>0</v>
      </c>
      <c r="H984">
        <v>0</v>
      </c>
      <c r="I984">
        <v>1</v>
      </c>
      <c r="J984">
        <v>0.4</v>
      </c>
      <c r="K984">
        <v>0.40910000000000002</v>
      </c>
      <c r="L984">
        <v>0.35</v>
      </c>
      <c r="M984">
        <v>0.35820000000000002</v>
      </c>
      <c r="N984">
        <v>3</v>
      </c>
      <c r="O984">
        <v>27</v>
      </c>
      <c r="P984">
        <v>30</v>
      </c>
      <c r="Q984" s="2">
        <f>DATE(mergedcleandataset[[#This Row],[yr]],mergedcleandataset[[#This Row],[mnth]],mergedcleandataset[[#This Row],[day]])</f>
        <v>40587</v>
      </c>
      <c r="R984">
        <f>DAY(mergedcleandataset[[#This Row],[dteday]])</f>
        <v>13</v>
      </c>
      <c r="S984" t="str">
        <f>IF(mergedcleandataset[[#This Row],[weekday]]&gt;=5,"Yes","No")</f>
        <v>No</v>
      </c>
      <c r="T984" t="b">
        <f>ISBLANK(mergedcleandataset[[#This Row],[atemp]])</f>
        <v>0</v>
      </c>
      <c r="U984" t="str">
        <f t="shared" si="15"/>
        <v>Spring</v>
      </c>
      <c r="V984" t="str">
        <f>TEXT(mergedcleandataset[[#This Row],[date]],"dddd")</f>
        <v>Sunday</v>
      </c>
      <c r="W98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5" spans="1:23" x14ac:dyDescent="0.25">
      <c r="A985">
        <v>993</v>
      </c>
      <c r="B985" s="1">
        <v>40588</v>
      </c>
      <c r="C985">
        <v>1</v>
      </c>
      <c r="D985" t="str">
        <f>TEXT(mergedcleandataset[[#This Row],[dteday]],"yyyy")</f>
        <v>2011</v>
      </c>
      <c r="E985">
        <v>2</v>
      </c>
      <c r="F985">
        <v>0</v>
      </c>
      <c r="G985" t="b">
        <v>0</v>
      </c>
      <c r="H985">
        <v>1</v>
      </c>
      <c r="I985">
        <v>1</v>
      </c>
      <c r="J985">
        <v>0.38</v>
      </c>
      <c r="K985">
        <v>0.39389999999999997</v>
      </c>
      <c r="L985">
        <v>0.37</v>
      </c>
      <c r="M985">
        <v>0.35820000000000002</v>
      </c>
      <c r="N985">
        <v>3</v>
      </c>
      <c r="O985">
        <v>8</v>
      </c>
      <c r="P985">
        <v>11</v>
      </c>
      <c r="Q985" s="2">
        <f>DATE(mergedcleandataset[[#This Row],[yr]],mergedcleandataset[[#This Row],[mnth]],mergedcleandataset[[#This Row],[day]])</f>
        <v>40588</v>
      </c>
      <c r="R985">
        <f>DAY(mergedcleandataset[[#This Row],[dteday]])</f>
        <v>14</v>
      </c>
      <c r="S985" t="str">
        <f>IF(mergedcleandataset[[#This Row],[weekday]]&gt;=5,"Yes","No")</f>
        <v>No</v>
      </c>
      <c r="T985" t="b">
        <f>ISBLANK(mergedcleandataset[[#This Row],[atemp]])</f>
        <v>0</v>
      </c>
      <c r="U985" t="str">
        <f t="shared" si="15"/>
        <v>Spring</v>
      </c>
      <c r="V985" t="str">
        <f>TEXT(mergedcleandataset[[#This Row],[date]],"dddd")</f>
        <v>Monday</v>
      </c>
      <c r="W98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6" spans="1:23" x14ac:dyDescent="0.25">
      <c r="A986">
        <v>994</v>
      </c>
      <c r="B986" s="1">
        <v>40588</v>
      </c>
      <c r="C986">
        <v>1</v>
      </c>
      <c r="D986" t="str">
        <f>TEXT(mergedcleandataset[[#This Row],[dteday]],"yyyy")</f>
        <v>2011</v>
      </c>
      <c r="E986">
        <v>2</v>
      </c>
      <c r="F986">
        <v>1</v>
      </c>
      <c r="G986" t="b">
        <v>0</v>
      </c>
      <c r="H986">
        <v>1</v>
      </c>
      <c r="I986">
        <v>1</v>
      </c>
      <c r="J986">
        <v>0.38</v>
      </c>
      <c r="K986">
        <v>0.39389999999999997</v>
      </c>
      <c r="L986">
        <v>0.37</v>
      </c>
      <c r="M986">
        <v>0.35820000000000002</v>
      </c>
      <c r="N986">
        <v>1</v>
      </c>
      <c r="O986">
        <v>6</v>
      </c>
      <c r="P986">
        <v>7</v>
      </c>
      <c r="Q986" s="2">
        <f>DATE(mergedcleandataset[[#This Row],[yr]],mergedcleandataset[[#This Row],[mnth]],mergedcleandataset[[#This Row],[day]])</f>
        <v>40588</v>
      </c>
      <c r="R986">
        <f>DAY(mergedcleandataset[[#This Row],[dteday]])</f>
        <v>14</v>
      </c>
      <c r="S986" t="str">
        <f>IF(mergedcleandataset[[#This Row],[weekday]]&gt;=5,"Yes","No")</f>
        <v>No</v>
      </c>
      <c r="T986" t="b">
        <f>ISBLANK(mergedcleandataset[[#This Row],[atemp]])</f>
        <v>0</v>
      </c>
      <c r="U986" t="str">
        <f t="shared" si="15"/>
        <v>Spring</v>
      </c>
      <c r="V986" t="str">
        <f>TEXT(mergedcleandataset[[#This Row],[date]],"dddd")</f>
        <v>Monday</v>
      </c>
      <c r="W986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7" spans="1:23" x14ac:dyDescent="0.25">
      <c r="A987">
        <v>995</v>
      </c>
      <c r="B987" s="1">
        <v>40588</v>
      </c>
      <c r="C987">
        <v>1</v>
      </c>
      <c r="D987" t="str">
        <f>TEXT(mergedcleandataset[[#This Row],[dteday]],"yyyy")</f>
        <v>2011</v>
      </c>
      <c r="E987">
        <v>2</v>
      </c>
      <c r="F987">
        <v>2</v>
      </c>
      <c r="G987" t="b">
        <v>0</v>
      </c>
      <c r="H987">
        <v>1</v>
      </c>
      <c r="I987">
        <v>1</v>
      </c>
      <c r="J987">
        <v>0.36</v>
      </c>
      <c r="K987">
        <v>0.33329999999999999</v>
      </c>
      <c r="L987">
        <v>0.4</v>
      </c>
      <c r="M987">
        <v>0.29849999999999999</v>
      </c>
      <c r="N987">
        <v>0</v>
      </c>
      <c r="O987">
        <v>2</v>
      </c>
      <c r="P987">
        <v>2</v>
      </c>
      <c r="Q987" s="2">
        <f>DATE(mergedcleandataset[[#This Row],[yr]],mergedcleandataset[[#This Row],[mnth]],mergedcleandataset[[#This Row],[day]])</f>
        <v>40588</v>
      </c>
      <c r="R987">
        <f>DAY(mergedcleandataset[[#This Row],[dteday]])</f>
        <v>14</v>
      </c>
      <c r="S987" t="str">
        <f>IF(mergedcleandataset[[#This Row],[weekday]]&gt;=5,"Yes","No")</f>
        <v>No</v>
      </c>
      <c r="T987" t="b">
        <f>ISBLANK(mergedcleandataset[[#This Row],[atemp]])</f>
        <v>0</v>
      </c>
      <c r="U987" t="str">
        <f t="shared" si="15"/>
        <v>Spring</v>
      </c>
      <c r="V987" t="str">
        <f>TEXT(mergedcleandataset[[#This Row],[date]],"dddd")</f>
        <v>Monday</v>
      </c>
      <c r="W987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8" spans="1:23" x14ac:dyDescent="0.25">
      <c r="A988">
        <v>996</v>
      </c>
      <c r="B988" s="1">
        <v>40588</v>
      </c>
      <c r="C988">
        <v>1</v>
      </c>
      <c r="D988" t="str">
        <f>TEXT(mergedcleandataset[[#This Row],[dteday]],"yyyy")</f>
        <v>2011</v>
      </c>
      <c r="E988">
        <v>2</v>
      </c>
      <c r="F988">
        <v>3</v>
      </c>
      <c r="G988" t="b">
        <v>0</v>
      </c>
      <c r="H988">
        <v>1</v>
      </c>
      <c r="I988">
        <v>1</v>
      </c>
      <c r="J988">
        <v>0.34</v>
      </c>
      <c r="K988">
        <v>0.31819999999999998</v>
      </c>
      <c r="L988">
        <v>0.46</v>
      </c>
      <c r="M988">
        <v>0.22389999999999999</v>
      </c>
      <c r="N988">
        <v>1</v>
      </c>
      <c r="O988">
        <v>1</v>
      </c>
      <c r="P988">
        <v>2</v>
      </c>
      <c r="Q988" s="2">
        <f>DATE(mergedcleandataset[[#This Row],[yr]],mergedcleandataset[[#This Row],[mnth]],mergedcleandataset[[#This Row],[day]])</f>
        <v>40588</v>
      </c>
      <c r="R988">
        <f>DAY(mergedcleandataset[[#This Row],[dteday]])</f>
        <v>14</v>
      </c>
      <c r="S988" t="str">
        <f>IF(mergedcleandataset[[#This Row],[weekday]]&gt;=5,"Yes","No")</f>
        <v>No</v>
      </c>
      <c r="T988" t="b">
        <f>ISBLANK(mergedcleandataset[[#This Row],[atemp]])</f>
        <v>0</v>
      </c>
      <c r="U988" t="str">
        <f t="shared" si="15"/>
        <v>Spring</v>
      </c>
      <c r="V988" t="str">
        <f>TEXT(mergedcleandataset[[#This Row],[date]],"dddd")</f>
        <v>Monday</v>
      </c>
      <c r="W988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89" spans="1:23" x14ac:dyDescent="0.25">
      <c r="A989">
        <v>997</v>
      </c>
      <c r="B989" s="1">
        <v>40588</v>
      </c>
      <c r="C989">
        <v>1</v>
      </c>
      <c r="D989" t="str">
        <f>TEXT(mergedcleandataset[[#This Row],[dteday]],"yyyy")</f>
        <v>2011</v>
      </c>
      <c r="E989">
        <v>2</v>
      </c>
      <c r="F989">
        <v>4</v>
      </c>
      <c r="G989" t="b">
        <v>0</v>
      </c>
      <c r="H989">
        <v>1</v>
      </c>
      <c r="I989">
        <v>1</v>
      </c>
      <c r="J989">
        <v>0.32</v>
      </c>
      <c r="K989">
        <v>0.30299999999999999</v>
      </c>
      <c r="L989">
        <v>0.53</v>
      </c>
      <c r="M989">
        <v>0.28360000000000002</v>
      </c>
      <c r="N989">
        <v>0</v>
      </c>
      <c r="O989">
        <v>2</v>
      </c>
      <c r="P989">
        <v>2</v>
      </c>
      <c r="Q989" s="2">
        <f>DATE(mergedcleandataset[[#This Row],[yr]],mergedcleandataset[[#This Row],[mnth]],mergedcleandataset[[#This Row],[day]])</f>
        <v>40588</v>
      </c>
      <c r="R989">
        <f>DAY(mergedcleandataset[[#This Row],[dteday]])</f>
        <v>14</v>
      </c>
      <c r="S989" t="str">
        <f>IF(mergedcleandataset[[#This Row],[weekday]]&gt;=5,"Yes","No")</f>
        <v>No</v>
      </c>
      <c r="T989" t="b">
        <f>ISBLANK(mergedcleandataset[[#This Row],[atemp]])</f>
        <v>0</v>
      </c>
      <c r="U989" t="str">
        <f t="shared" si="15"/>
        <v>Spring</v>
      </c>
      <c r="V989" t="str">
        <f>TEXT(mergedcleandataset[[#This Row],[date]],"dddd")</f>
        <v>Monday</v>
      </c>
      <c r="W98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0" spans="1:23" x14ac:dyDescent="0.25">
      <c r="A990">
        <v>998</v>
      </c>
      <c r="B990" s="1">
        <v>40588</v>
      </c>
      <c r="C990">
        <v>1</v>
      </c>
      <c r="D990" t="str">
        <f>TEXT(mergedcleandataset[[#This Row],[dteday]],"yyyy")</f>
        <v>2011</v>
      </c>
      <c r="E990">
        <v>2</v>
      </c>
      <c r="F990">
        <v>5</v>
      </c>
      <c r="G990" t="b">
        <v>0</v>
      </c>
      <c r="H990">
        <v>1</v>
      </c>
      <c r="I990">
        <v>1</v>
      </c>
      <c r="J990">
        <v>0.32</v>
      </c>
      <c r="K990">
        <v>0.30299999999999999</v>
      </c>
      <c r="L990">
        <v>0.53</v>
      </c>
      <c r="M990">
        <v>0.28360000000000002</v>
      </c>
      <c r="N990">
        <v>0</v>
      </c>
      <c r="O990">
        <v>3</v>
      </c>
      <c r="P990">
        <v>3</v>
      </c>
      <c r="Q990" s="2">
        <f>DATE(mergedcleandataset[[#This Row],[yr]],mergedcleandataset[[#This Row],[mnth]],mergedcleandataset[[#This Row],[day]])</f>
        <v>40588</v>
      </c>
      <c r="R990">
        <f>DAY(mergedcleandataset[[#This Row],[dteday]])</f>
        <v>14</v>
      </c>
      <c r="S990" t="str">
        <f>IF(mergedcleandataset[[#This Row],[weekday]]&gt;=5,"Yes","No")</f>
        <v>No</v>
      </c>
      <c r="T990" t="b">
        <f>ISBLANK(mergedcleandataset[[#This Row],[atemp]])</f>
        <v>0</v>
      </c>
      <c r="U990" t="str">
        <f t="shared" si="15"/>
        <v>Spring</v>
      </c>
      <c r="V990" t="str">
        <f>TEXT(mergedcleandataset[[#This Row],[date]],"dddd")</f>
        <v>Monday</v>
      </c>
      <c r="W99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1" spans="1:23" x14ac:dyDescent="0.25">
      <c r="A991">
        <v>999</v>
      </c>
      <c r="B991" s="1">
        <v>40588</v>
      </c>
      <c r="C991">
        <v>1</v>
      </c>
      <c r="D991" t="str">
        <f>TEXT(mergedcleandataset[[#This Row],[dteday]],"yyyy")</f>
        <v>2011</v>
      </c>
      <c r="E991">
        <v>2</v>
      </c>
      <c r="F991">
        <v>6</v>
      </c>
      <c r="G991" t="b">
        <v>0</v>
      </c>
      <c r="H991">
        <v>1</v>
      </c>
      <c r="I991">
        <v>1</v>
      </c>
      <c r="J991">
        <v>0.34</v>
      </c>
      <c r="K991">
        <v>0.30299999999999999</v>
      </c>
      <c r="L991">
        <v>0.46</v>
      </c>
      <c r="M991">
        <v>0.29849999999999999</v>
      </c>
      <c r="N991">
        <v>1</v>
      </c>
      <c r="O991">
        <v>25</v>
      </c>
      <c r="P991">
        <v>26</v>
      </c>
      <c r="Q991" s="2">
        <f>DATE(mergedcleandataset[[#This Row],[yr]],mergedcleandataset[[#This Row],[mnth]],mergedcleandataset[[#This Row],[day]])</f>
        <v>40588</v>
      </c>
      <c r="R991">
        <f>DAY(mergedcleandataset[[#This Row],[dteday]])</f>
        <v>14</v>
      </c>
      <c r="S991" t="str">
        <f>IF(mergedcleandataset[[#This Row],[weekday]]&gt;=5,"Yes","No")</f>
        <v>No</v>
      </c>
      <c r="T991" t="b">
        <f>ISBLANK(mergedcleandataset[[#This Row],[atemp]])</f>
        <v>0</v>
      </c>
      <c r="U991" t="str">
        <f t="shared" si="15"/>
        <v>Spring</v>
      </c>
      <c r="V991" t="str">
        <f>TEXT(mergedcleandataset[[#This Row],[date]],"dddd")</f>
        <v>Monday</v>
      </c>
      <c r="W99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2" spans="1:23" x14ac:dyDescent="0.25">
      <c r="A992">
        <v>1000</v>
      </c>
      <c r="B992" s="1">
        <v>40588</v>
      </c>
      <c r="C992">
        <v>1</v>
      </c>
      <c r="D992" t="str">
        <f>TEXT(mergedcleandataset[[#This Row],[dteday]],"yyyy")</f>
        <v>2011</v>
      </c>
      <c r="E992">
        <v>2</v>
      </c>
      <c r="F992">
        <v>7</v>
      </c>
      <c r="G992" t="b">
        <v>0</v>
      </c>
      <c r="H992">
        <v>1</v>
      </c>
      <c r="I992">
        <v>1</v>
      </c>
      <c r="J992">
        <v>0.34</v>
      </c>
      <c r="K992">
        <v>0.30299999999999999</v>
      </c>
      <c r="L992">
        <v>0.46</v>
      </c>
      <c r="M992">
        <v>0.29849999999999999</v>
      </c>
      <c r="N992">
        <v>2</v>
      </c>
      <c r="O992">
        <v>96</v>
      </c>
      <c r="P992">
        <v>98</v>
      </c>
      <c r="Q992" s="2">
        <f>DATE(mergedcleandataset[[#This Row],[yr]],mergedcleandataset[[#This Row],[mnth]],mergedcleandataset[[#This Row],[day]])</f>
        <v>40588</v>
      </c>
      <c r="R992">
        <f>DAY(mergedcleandataset[[#This Row],[dteday]])</f>
        <v>14</v>
      </c>
      <c r="S992" t="str">
        <f>IF(mergedcleandataset[[#This Row],[weekday]]&gt;=5,"Yes","No")</f>
        <v>No</v>
      </c>
      <c r="T992" t="b">
        <f>ISBLANK(mergedcleandataset[[#This Row],[atemp]])</f>
        <v>0</v>
      </c>
      <c r="U992" t="str">
        <f t="shared" si="15"/>
        <v>Spring</v>
      </c>
      <c r="V992" t="str">
        <f>TEXT(mergedcleandataset[[#This Row],[date]],"dddd")</f>
        <v>Monday</v>
      </c>
      <c r="W992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3" spans="1:23" x14ac:dyDescent="0.25">
      <c r="A993">
        <v>611</v>
      </c>
      <c r="B993" s="1">
        <v>40571</v>
      </c>
      <c r="C993">
        <v>1</v>
      </c>
      <c r="D993" t="str">
        <f>TEXT(mergedcleandataset[[#This Row],[dteday]],"yyyy")</f>
        <v>2011</v>
      </c>
      <c r="E993">
        <v>1</v>
      </c>
      <c r="F993">
        <v>16</v>
      </c>
      <c r="G993" t="b">
        <v>0</v>
      </c>
      <c r="H993">
        <v>5</v>
      </c>
      <c r="I993">
        <v>1</v>
      </c>
      <c r="J993">
        <v>0.22</v>
      </c>
      <c r="K993">
        <v>0.2727</v>
      </c>
      <c r="L993">
        <v>0.8</v>
      </c>
      <c r="M993">
        <v>0</v>
      </c>
      <c r="N993">
        <v>10</v>
      </c>
      <c r="O993">
        <v>70</v>
      </c>
      <c r="P993">
        <v>80</v>
      </c>
      <c r="Q993" s="2">
        <f>DATE(mergedcleandataset[[#This Row],[yr]],mergedcleandataset[[#This Row],[mnth]],mergedcleandataset[[#This Row],[day]])</f>
        <v>40571</v>
      </c>
      <c r="R993">
        <f>DAY(mergedcleandataset[[#This Row],[dteday]])</f>
        <v>28</v>
      </c>
      <c r="S993" t="str">
        <f>IF(mergedcleandataset[[#This Row],[weekday]]&gt;=5,"Yes","No")</f>
        <v>Yes</v>
      </c>
      <c r="T993" t="b">
        <f>ISBLANK(mergedcleandataset[[#This Row],[atemp]])</f>
        <v>0</v>
      </c>
      <c r="U993" t="str">
        <f t="shared" si="15"/>
        <v>Spring</v>
      </c>
      <c r="V993" t="str">
        <f>TEXT(mergedcleandataset[[#This Row],[date]],"dddd")</f>
        <v>Friday</v>
      </c>
      <c r="W993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4" spans="1:23" x14ac:dyDescent="0.25">
      <c r="A994">
        <v>612</v>
      </c>
      <c r="B994" s="1">
        <v>40571</v>
      </c>
      <c r="C994">
        <v>1</v>
      </c>
      <c r="D994" t="str">
        <f>TEXT(mergedcleandataset[[#This Row],[dteday]],"yyyy")</f>
        <v>2011</v>
      </c>
      <c r="E994">
        <v>1</v>
      </c>
      <c r="F994">
        <v>17</v>
      </c>
      <c r="G994" t="b">
        <v>0</v>
      </c>
      <c r="H994">
        <v>5</v>
      </c>
      <c r="I994">
        <v>1</v>
      </c>
      <c r="J994">
        <v>0.24</v>
      </c>
      <c r="K994">
        <v>0.2424</v>
      </c>
      <c r="L994">
        <v>0.75</v>
      </c>
      <c r="M994">
        <v>0.1343</v>
      </c>
      <c r="N994">
        <v>2</v>
      </c>
      <c r="O994">
        <v>147</v>
      </c>
      <c r="P994">
        <v>149</v>
      </c>
      <c r="Q994" s="2">
        <f>DATE(mergedcleandataset[[#This Row],[yr]],mergedcleandataset[[#This Row],[mnth]],mergedcleandataset[[#This Row],[day]])</f>
        <v>40571</v>
      </c>
      <c r="R994">
        <f>DAY(mergedcleandataset[[#This Row],[dteday]])</f>
        <v>28</v>
      </c>
      <c r="S994" t="str">
        <f>IF(mergedcleandataset[[#This Row],[weekday]]&gt;=5,"Yes","No")</f>
        <v>Yes</v>
      </c>
      <c r="T994" t="b">
        <f>ISBLANK(mergedcleandataset[[#This Row],[atemp]])</f>
        <v>0</v>
      </c>
      <c r="U994" t="str">
        <f t="shared" si="15"/>
        <v>Spring</v>
      </c>
      <c r="V994" t="str">
        <f>TEXT(mergedcleandataset[[#This Row],[date]],"dddd")</f>
        <v>Friday</v>
      </c>
      <c r="W994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5" spans="1:23" x14ac:dyDescent="0.25">
      <c r="A995">
        <v>613</v>
      </c>
      <c r="B995" s="1">
        <v>40571</v>
      </c>
      <c r="C995">
        <v>1</v>
      </c>
      <c r="D995" t="str">
        <f>TEXT(mergedcleandataset[[#This Row],[dteday]],"yyyy")</f>
        <v>2011</v>
      </c>
      <c r="E995">
        <v>1</v>
      </c>
      <c r="F995">
        <v>18</v>
      </c>
      <c r="G995" t="b">
        <v>0</v>
      </c>
      <c r="H995">
        <v>5</v>
      </c>
      <c r="I995">
        <v>1</v>
      </c>
      <c r="J995">
        <v>0.24</v>
      </c>
      <c r="K995">
        <v>0.2273</v>
      </c>
      <c r="L995">
        <v>0.75</v>
      </c>
      <c r="M995">
        <v>0.19400000000000001</v>
      </c>
      <c r="N995">
        <v>2</v>
      </c>
      <c r="O995">
        <v>107</v>
      </c>
      <c r="P995">
        <v>109</v>
      </c>
      <c r="Q995" s="2">
        <f>DATE(mergedcleandataset[[#This Row],[yr]],mergedcleandataset[[#This Row],[mnth]],mergedcleandataset[[#This Row],[day]])</f>
        <v>40571</v>
      </c>
      <c r="R995">
        <f>DAY(mergedcleandataset[[#This Row],[dteday]])</f>
        <v>28</v>
      </c>
      <c r="S995" t="str">
        <f>IF(mergedcleandataset[[#This Row],[weekday]]&gt;=5,"Yes","No")</f>
        <v>Yes</v>
      </c>
      <c r="T995" t="b">
        <f>ISBLANK(mergedcleandataset[[#This Row],[atemp]])</f>
        <v>0</v>
      </c>
      <c r="U995" t="str">
        <f t="shared" si="15"/>
        <v>Spring</v>
      </c>
      <c r="V995" t="str">
        <f>TEXT(mergedcleandataset[[#This Row],[date]],"dddd")</f>
        <v>Friday</v>
      </c>
      <c r="W995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996" spans="1:23" x14ac:dyDescent="0.25">
      <c r="A996">
        <v>614</v>
      </c>
      <c r="B996" s="1">
        <v>40571</v>
      </c>
      <c r="C996">
        <v>1</v>
      </c>
      <c r="D996" t="str">
        <f>TEXT(mergedcleandataset[[#This Row],[dteday]],"yyyy")</f>
        <v>2011</v>
      </c>
      <c r="E996">
        <v>1</v>
      </c>
      <c r="F996">
        <v>19</v>
      </c>
      <c r="G996" t="b">
        <v>0</v>
      </c>
      <c r="H996">
        <v>5</v>
      </c>
      <c r="I996">
        <v>2</v>
      </c>
      <c r="J996">
        <v>0.24</v>
      </c>
      <c r="K996">
        <v>0.2424</v>
      </c>
      <c r="L996">
        <v>0.75</v>
      </c>
      <c r="M996">
        <v>0.1343</v>
      </c>
      <c r="N996">
        <v>5</v>
      </c>
      <c r="O996">
        <v>84</v>
      </c>
      <c r="P996">
        <v>89</v>
      </c>
      <c r="Q996" s="2">
        <f>DATE(mergedcleandataset[[#This Row],[yr]],mergedcleandataset[[#This Row],[mnth]],mergedcleandataset[[#This Row],[day]])</f>
        <v>40571</v>
      </c>
      <c r="R996">
        <f>DAY(mergedcleandataset[[#This Row],[dteday]])</f>
        <v>28</v>
      </c>
      <c r="S996" t="str">
        <f>IF(mergedcleandataset[[#This Row],[weekday]]&gt;=5,"Yes","No")</f>
        <v>Yes</v>
      </c>
      <c r="T996" t="b">
        <f>ISBLANK(mergedcleandataset[[#This Row],[atemp]])</f>
        <v>0</v>
      </c>
      <c r="U996" t="str">
        <f t="shared" si="15"/>
        <v>Spring</v>
      </c>
      <c r="V996" t="str">
        <f>TEXT(mergedcleandataset[[#This Row],[date]],"dddd")</f>
        <v>Friday</v>
      </c>
      <c r="W996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97" spans="1:23" x14ac:dyDescent="0.25">
      <c r="A997">
        <v>615</v>
      </c>
      <c r="B997" s="1">
        <v>40571</v>
      </c>
      <c r="C997">
        <v>1</v>
      </c>
      <c r="D997" t="str">
        <f>TEXT(mergedcleandataset[[#This Row],[dteday]],"yyyy")</f>
        <v>2011</v>
      </c>
      <c r="E997">
        <v>1</v>
      </c>
      <c r="F997">
        <v>20</v>
      </c>
      <c r="G997" t="b">
        <v>0</v>
      </c>
      <c r="H997">
        <v>5</v>
      </c>
      <c r="I997">
        <v>2</v>
      </c>
      <c r="J997">
        <v>0.24</v>
      </c>
      <c r="K997">
        <v>0.2273</v>
      </c>
      <c r="L997">
        <v>0.7</v>
      </c>
      <c r="M997">
        <v>0.19400000000000001</v>
      </c>
      <c r="N997">
        <v>1</v>
      </c>
      <c r="O997">
        <v>61</v>
      </c>
      <c r="P997">
        <v>62</v>
      </c>
      <c r="Q997" s="2">
        <f>DATE(mergedcleandataset[[#This Row],[yr]],mergedcleandataset[[#This Row],[mnth]],mergedcleandataset[[#This Row],[day]])</f>
        <v>40571</v>
      </c>
      <c r="R997">
        <f>DAY(mergedcleandataset[[#This Row],[dteday]])</f>
        <v>28</v>
      </c>
      <c r="S997" t="str">
        <f>IF(mergedcleandataset[[#This Row],[weekday]]&gt;=5,"Yes","No")</f>
        <v>Yes</v>
      </c>
      <c r="T997" t="b">
        <f>ISBLANK(mergedcleandataset[[#This Row],[atemp]])</f>
        <v>0</v>
      </c>
      <c r="U997" t="str">
        <f t="shared" si="15"/>
        <v>Spring</v>
      </c>
      <c r="V997" t="str">
        <f>TEXT(mergedcleandataset[[#This Row],[date]],"dddd")</f>
        <v>Friday</v>
      </c>
      <c r="W997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98" spans="1:23" x14ac:dyDescent="0.25">
      <c r="A998">
        <v>616</v>
      </c>
      <c r="B998" s="1">
        <v>40571</v>
      </c>
      <c r="C998">
        <v>1</v>
      </c>
      <c r="D998" t="str">
        <f>TEXT(mergedcleandataset[[#This Row],[dteday]],"yyyy")</f>
        <v>2011</v>
      </c>
      <c r="E998">
        <v>1</v>
      </c>
      <c r="F998">
        <v>21</v>
      </c>
      <c r="G998" t="b">
        <v>0</v>
      </c>
      <c r="H998">
        <v>5</v>
      </c>
      <c r="I998">
        <v>2</v>
      </c>
      <c r="J998">
        <v>0.22</v>
      </c>
      <c r="K998">
        <v>0.2273</v>
      </c>
      <c r="L998">
        <v>0.75</v>
      </c>
      <c r="M998">
        <v>0.1343</v>
      </c>
      <c r="N998">
        <v>1</v>
      </c>
      <c r="O998">
        <v>57</v>
      </c>
      <c r="P998">
        <v>58</v>
      </c>
      <c r="Q998" s="2">
        <f>DATE(mergedcleandataset[[#This Row],[yr]],mergedcleandataset[[#This Row],[mnth]],mergedcleandataset[[#This Row],[day]])</f>
        <v>40571</v>
      </c>
      <c r="R998">
        <f>DAY(mergedcleandataset[[#This Row],[dteday]])</f>
        <v>28</v>
      </c>
      <c r="S998" t="str">
        <f>IF(mergedcleandataset[[#This Row],[weekday]]&gt;=5,"Yes","No")</f>
        <v>Yes</v>
      </c>
      <c r="T998" t="b">
        <f>ISBLANK(mergedcleandataset[[#This Row],[atemp]])</f>
        <v>0</v>
      </c>
      <c r="U998" t="str">
        <f t="shared" si="15"/>
        <v>Spring</v>
      </c>
      <c r="V998" t="str">
        <f>TEXT(mergedcleandataset[[#This Row],[date]],"dddd")</f>
        <v>Friday</v>
      </c>
      <c r="W998" t="str">
        <f>IF(mergedcleandataset[[#This Row],[weathersit]]=1,"Clear",
IF(mergedcleandataset[[#This Row],[weathersit]]=2,"Mist/Cloudy",
IF(mergedcleandataset[[#This Row],[weathersit]]=3,"Light Rain/Snow",
"Heavy Rain/Storm")))</f>
        <v>Mist/Cloudy</v>
      </c>
    </row>
    <row r="999" spans="1:23" x14ac:dyDescent="0.25">
      <c r="A999">
        <v>617</v>
      </c>
      <c r="B999" s="1">
        <v>40571</v>
      </c>
      <c r="C999">
        <v>1</v>
      </c>
      <c r="D999" t="str">
        <f>TEXT(mergedcleandataset[[#This Row],[dteday]],"yyyy")</f>
        <v>2011</v>
      </c>
      <c r="E999">
        <v>1</v>
      </c>
      <c r="F999">
        <v>22</v>
      </c>
      <c r="G999" t="b">
        <v>0</v>
      </c>
      <c r="H999">
        <v>5</v>
      </c>
      <c r="I999">
        <v>1</v>
      </c>
      <c r="J999">
        <v>0.24</v>
      </c>
      <c r="K999">
        <v>0.21210000000000001</v>
      </c>
      <c r="L999">
        <v>0.65</v>
      </c>
      <c r="M999">
        <v>0.35820000000000002</v>
      </c>
      <c r="N999">
        <v>0</v>
      </c>
      <c r="O999">
        <v>26</v>
      </c>
      <c r="P999">
        <v>26</v>
      </c>
      <c r="Q999" s="2">
        <f>DATE(mergedcleandataset[[#This Row],[yr]],mergedcleandataset[[#This Row],[mnth]],mergedcleandataset[[#This Row],[day]])</f>
        <v>40571</v>
      </c>
      <c r="R999">
        <f>DAY(mergedcleandataset[[#This Row],[dteday]])</f>
        <v>28</v>
      </c>
      <c r="S999" t="str">
        <f>IF(mergedcleandataset[[#This Row],[weekday]]&gt;=5,"Yes","No")</f>
        <v>Yes</v>
      </c>
      <c r="T999" t="b">
        <f>ISBLANK(mergedcleandataset[[#This Row],[atemp]])</f>
        <v>0</v>
      </c>
      <c r="U999" t="str">
        <f t="shared" si="15"/>
        <v>Spring</v>
      </c>
      <c r="V999" t="str">
        <f>TEXT(mergedcleandataset[[#This Row],[date]],"dddd")</f>
        <v>Friday</v>
      </c>
      <c r="W999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00" spans="1:23" x14ac:dyDescent="0.25">
      <c r="A1000">
        <v>618</v>
      </c>
      <c r="B1000" s="1">
        <v>40571</v>
      </c>
      <c r="C1000">
        <v>1</v>
      </c>
      <c r="D1000" t="str">
        <f>TEXT(mergedcleandataset[[#This Row],[dteday]],"yyyy")</f>
        <v>2011</v>
      </c>
      <c r="E1000">
        <v>1</v>
      </c>
      <c r="F1000">
        <v>23</v>
      </c>
      <c r="G1000" t="b">
        <v>0</v>
      </c>
      <c r="H1000">
        <v>5</v>
      </c>
      <c r="I1000">
        <v>1</v>
      </c>
      <c r="J1000">
        <v>0.24</v>
      </c>
      <c r="K1000">
        <v>0.2273</v>
      </c>
      <c r="L1000">
        <v>0.6</v>
      </c>
      <c r="M1000">
        <v>0.22389999999999999</v>
      </c>
      <c r="N1000">
        <v>1</v>
      </c>
      <c r="O1000">
        <v>22</v>
      </c>
      <c r="P1000">
        <v>23</v>
      </c>
      <c r="Q1000" s="2">
        <f>DATE(mergedcleandataset[[#This Row],[yr]],mergedcleandataset[[#This Row],[mnth]],mergedcleandataset[[#This Row],[day]])</f>
        <v>40571</v>
      </c>
      <c r="R1000">
        <f>DAY(mergedcleandataset[[#This Row],[dteday]])</f>
        <v>28</v>
      </c>
      <c r="S1000" t="str">
        <f>IF(mergedcleandataset[[#This Row],[weekday]]&gt;=5,"Yes","No")</f>
        <v>Yes</v>
      </c>
      <c r="T1000" t="b">
        <f>ISBLANK(mergedcleandataset[[#This Row],[atemp]])</f>
        <v>0</v>
      </c>
      <c r="U1000" t="str">
        <f t="shared" si="15"/>
        <v>Spring</v>
      </c>
      <c r="V1000" t="str">
        <f>TEXT(mergedcleandataset[[#This Row],[date]],"dddd")</f>
        <v>Friday</v>
      </c>
      <c r="W1000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  <row r="1001" spans="1:23" x14ac:dyDescent="0.25">
      <c r="A1001">
        <v>619</v>
      </c>
      <c r="B1001" s="1">
        <v>40572</v>
      </c>
      <c r="C1001">
        <v>1</v>
      </c>
      <c r="D1001" t="str">
        <f>TEXT(mergedcleandataset[[#This Row],[dteday]],"yyyy")</f>
        <v>2011</v>
      </c>
      <c r="E1001">
        <v>1</v>
      </c>
      <c r="F1001">
        <v>0</v>
      </c>
      <c r="G1001" t="b">
        <v>0</v>
      </c>
      <c r="H1001">
        <v>6</v>
      </c>
      <c r="I1001">
        <v>1</v>
      </c>
      <c r="J1001">
        <v>0.22</v>
      </c>
      <c r="K1001">
        <v>0.19700000000000001</v>
      </c>
      <c r="L1001">
        <v>0.64</v>
      </c>
      <c r="M1001">
        <v>0.35820000000000002</v>
      </c>
      <c r="N1001">
        <v>2</v>
      </c>
      <c r="O1001">
        <v>26</v>
      </c>
      <c r="P1001">
        <v>28</v>
      </c>
      <c r="Q1001" s="2">
        <f>DATE(mergedcleandataset[[#This Row],[yr]],mergedcleandataset[[#This Row],[mnth]],mergedcleandataset[[#This Row],[day]])</f>
        <v>40572</v>
      </c>
      <c r="R1001">
        <f>DAY(mergedcleandataset[[#This Row],[dteday]])</f>
        <v>29</v>
      </c>
      <c r="S1001" t="str">
        <f>IF(mergedcleandataset[[#This Row],[weekday]]&gt;=5,"Yes","No")</f>
        <v>Yes</v>
      </c>
      <c r="T1001" t="b">
        <f>ISBLANK(mergedcleandataset[[#This Row],[atemp]])</f>
        <v>0</v>
      </c>
      <c r="U1001" t="str">
        <f t="shared" si="15"/>
        <v>Spring</v>
      </c>
      <c r="V1001" t="str">
        <f>TEXT(mergedcleandataset[[#This Row],[date]],"dddd")</f>
        <v>Saturday</v>
      </c>
      <c r="W1001" t="str">
        <f>IF(mergedcleandataset[[#This Row],[weathersit]]=1,"Clear",
IF(mergedcleandataset[[#This Row],[weathersit]]=2,"Mist/Cloudy",
IF(mergedcleandataset[[#This Row],[weathersit]]=3,"Light Rain/Snow",
"Heavy Rain/Storm")))</f>
        <v>Clear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3753A-2389-40AF-8D34-46DC4BE6A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mergecleandataset2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Kothari</dc:creator>
  <cp:lastModifiedBy>Priyanka Kothari</cp:lastModifiedBy>
  <dcterms:created xsi:type="dcterms:W3CDTF">2025-11-01T15:17:41Z</dcterms:created>
  <dcterms:modified xsi:type="dcterms:W3CDTF">2025-11-01T15:18:42Z</dcterms:modified>
</cp:coreProperties>
</file>